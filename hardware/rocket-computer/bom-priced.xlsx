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/>
  <mc:AlternateContent xmlns:mc="http://schemas.openxmlformats.org/markup-compatibility/2006">
    <mc:Choice Requires="x15">
      <x15ac:absPath xmlns:x15ac="http://schemas.microsoft.com/office/spreadsheetml/2010/11/ac" url="/Users/christianpedersen/Documents/Hobbies/ModelRockets/Circuit Board Designs/TinkerRocket Full V9/"/>
    </mc:Choice>
  </mc:AlternateContent>
  <xr:revisionPtr revIDLastSave="0" documentId="8_{D0B2DE60-82DC-0646-A10C-6B7F7E105F2A}" xr6:coauthVersionLast="47" xr6:coauthVersionMax="47" xr10:uidLastSave="{00000000-0000-0000-0000-000000000000}"/>
  <bookViews>
    <workbookView xWindow="6280" yWindow="660" windowWidth="28240" windowHeight="19640" tabRatio="500" xr2:uid="{00000000-000D-0000-FFFF-FFFF00000000}"/>
  </bookViews>
  <sheets>
    <sheet name="Priced BOM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102" i="1" l="1"/>
  <c r="J101" i="1"/>
  <c r="K101" i="1" s="1"/>
  <c r="J100" i="1"/>
  <c r="J102" i="1" s="1"/>
  <c r="B5" i="1" s="1"/>
  <c r="B7" i="1" s="1"/>
  <c r="K99" i="1"/>
  <c r="J99" i="1"/>
  <c r="K98" i="1"/>
  <c r="J98" i="1"/>
  <c r="K97" i="1"/>
  <c r="J97" i="1"/>
  <c r="J96" i="1"/>
  <c r="K96" i="1" s="1"/>
  <c r="J95" i="1"/>
  <c r="K95" i="1" s="1"/>
  <c r="J94" i="1"/>
  <c r="K94" i="1" s="1"/>
  <c r="K93" i="1"/>
  <c r="J93" i="1"/>
  <c r="K92" i="1"/>
  <c r="J92" i="1"/>
  <c r="J91" i="1"/>
  <c r="K91" i="1" s="1"/>
  <c r="J90" i="1"/>
  <c r="K90" i="1" s="1"/>
  <c r="J89" i="1"/>
  <c r="K89" i="1" s="1"/>
  <c r="K88" i="1"/>
  <c r="J88" i="1"/>
  <c r="K87" i="1"/>
  <c r="J87" i="1"/>
  <c r="J86" i="1"/>
  <c r="K86" i="1" s="1"/>
  <c r="J85" i="1"/>
  <c r="K85" i="1" s="1"/>
  <c r="J84" i="1"/>
  <c r="K84" i="1" s="1"/>
  <c r="K83" i="1"/>
  <c r="J83" i="1"/>
  <c r="K82" i="1"/>
  <c r="J82" i="1"/>
  <c r="J81" i="1"/>
  <c r="K81" i="1" s="1"/>
  <c r="J80" i="1"/>
  <c r="K80" i="1" s="1"/>
  <c r="J79" i="1"/>
  <c r="K79" i="1" s="1"/>
  <c r="K78" i="1"/>
  <c r="J78" i="1"/>
  <c r="K77" i="1"/>
  <c r="J77" i="1"/>
  <c r="J76" i="1"/>
  <c r="K76" i="1" s="1"/>
  <c r="J75" i="1"/>
  <c r="K75" i="1" s="1"/>
  <c r="J74" i="1"/>
  <c r="K74" i="1" s="1"/>
  <c r="K73" i="1"/>
  <c r="J73" i="1"/>
  <c r="K72" i="1"/>
  <c r="J72" i="1"/>
  <c r="J71" i="1"/>
  <c r="K71" i="1" s="1"/>
  <c r="J70" i="1"/>
  <c r="K70" i="1" s="1"/>
  <c r="J69" i="1"/>
  <c r="K69" i="1" s="1"/>
  <c r="K68" i="1"/>
  <c r="J68" i="1"/>
  <c r="K67" i="1"/>
  <c r="J67" i="1"/>
  <c r="J66" i="1"/>
  <c r="K66" i="1" s="1"/>
  <c r="J65" i="1"/>
  <c r="K65" i="1" s="1"/>
  <c r="J64" i="1"/>
  <c r="K64" i="1" s="1"/>
  <c r="K63" i="1"/>
  <c r="J63" i="1"/>
  <c r="K62" i="1"/>
  <c r="J62" i="1"/>
  <c r="J61" i="1"/>
  <c r="K61" i="1" s="1"/>
  <c r="J60" i="1"/>
  <c r="K60" i="1" s="1"/>
  <c r="J59" i="1"/>
  <c r="K59" i="1" s="1"/>
  <c r="K58" i="1"/>
  <c r="J58" i="1"/>
  <c r="K57" i="1"/>
  <c r="J57" i="1"/>
  <c r="J56" i="1"/>
  <c r="K56" i="1" s="1"/>
  <c r="J55" i="1"/>
  <c r="K55" i="1" s="1"/>
  <c r="J54" i="1"/>
  <c r="K54" i="1" s="1"/>
  <c r="K53" i="1"/>
  <c r="J53" i="1"/>
  <c r="K52" i="1"/>
  <c r="J52" i="1"/>
  <c r="J51" i="1"/>
  <c r="K51" i="1" s="1"/>
  <c r="J50" i="1"/>
  <c r="K50" i="1" s="1"/>
  <c r="J49" i="1"/>
  <c r="K49" i="1" s="1"/>
  <c r="K48" i="1"/>
  <c r="J48" i="1"/>
  <c r="K47" i="1"/>
  <c r="J47" i="1"/>
  <c r="J46" i="1"/>
  <c r="K46" i="1" s="1"/>
  <c r="J45" i="1"/>
  <c r="K45" i="1" s="1"/>
  <c r="J44" i="1"/>
  <c r="K44" i="1" s="1"/>
  <c r="K43" i="1"/>
  <c r="J43" i="1"/>
  <c r="K42" i="1"/>
  <c r="J42" i="1"/>
  <c r="J41" i="1"/>
  <c r="K41" i="1" s="1"/>
  <c r="J40" i="1"/>
  <c r="K40" i="1" s="1"/>
  <c r="J39" i="1"/>
  <c r="K39" i="1" s="1"/>
  <c r="K38" i="1"/>
  <c r="J38" i="1"/>
  <c r="K37" i="1"/>
  <c r="J37" i="1"/>
  <c r="J36" i="1"/>
  <c r="K36" i="1" s="1"/>
  <c r="J35" i="1"/>
  <c r="K35" i="1" s="1"/>
  <c r="J34" i="1"/>
  <c r="K34" i="1" s="1"/>
  <c r="K33" i="1"/>
  <c r="J33" i="1"/>
  <c r="K32" i="1"/>
  <c r="J32" i="1"/>
  <c r="J31" i="1"/>
  <c r="K31" i="1" s="1"/>
  <c r="J30" i="1"/>
  <c r="K30" i="1" s="1"/>
  <c r="J29" i="1"/>
  <c r="K29" i="1" s="1"/>
  <c r="K28" i="1"/>
  <c r="J28" i="1"/>
  <c r="K27" i="1"/>
  <c r="J27" i="1"/>
  <c r="J26" i="1"/>
  <c r="K26" i="1" s="1"/>
  <c r="J25" i="1"/>
  <c r="K25" i="1" s="1"/>
  <c r="J24" i="1"/>
  <c r="K24" i="1" s="1"/>
  <c r="K23" i="1"/>
  <c r="J23" i="1"/>
  <c r="K22" i="1"/>
  <c r="J22" i="1"/>
  <c r="J21" i="1"/>
  <c r="K21" i="1" s="1"/>
  <c r="J20" i="1"/>
  <c r="K20" i="1" s="1"/>
  <c r="J19" i="1"/>
  <c r="K19" i="1" s="1"/>
  <c r="K18" i="1"/>
  <c r="J18" i="1"/>
  <c r="K17" i="1"/>
  <c r="J17" i="1"/>
  <c r="J16" i="1"/>
  <c r="K16" i="1" s="1"/>
  <c r="J15" i="1"/>
  <c r="K15" i="1" s="1"/>
  <c r="J14" i="1"/>
  <c r="K14" i="1" s="1"/>
  <c r="K13" i="1"/>
  <c r="J13" i="1"/>
  <c r="E6" i="1"/>
  <c r="E7" i="1" s="1"/>
  <c r="K100" i="1" l="1"/>
  <c r="K102" i="1" s="1"/>
</calcChain>
</file>

<file path=xl/sharedStrings.xml><?xml version="1.0" encoding="utf-8"?>
<sst xmlns="http://schemas.openxmlformats.org/spreadsheetml/2006/main" count="584" uniqueCount="374">
  <si>
    <t>TinkerRocket V9 — Priced Bill of Materials</t>
  </si>
  <si>
    <t>Component cost at 100-unit build volume  ·  Prices USD, per-piece at ~100 qty  ·  Compiled 2026-07-23</t>
  </si>
  <si>
    <t>BUILD SUMMARY</t>
  </si>
  <si>
    <t>Per-board component cost</t>
  </si>
  <si>
    <t>Unique line items</t>
  </si>
  <si>
    <t>Note</t>
  </si>
  <si>
    <t>Prices are component-only (no PCB, assembly, freight, tax, or attrition).</t>
  </si>
  <si>
    <t>Build quantity (boards)</t>
  </si>
  <si>
    <t>Total placements / board</t>
  </si>
  <si>
    <t>Sourcing</t>
  </si>
  <si>
    <t>Live qty-100 breaks from Digi-Key / Mouser / LCSC / Octopart (see Distributor &amp; Notes).</t>
  </si>
  <si>
    <t>Total component cost (100 boards)</t>
  </si>
  <si>
    <t>Total placements (100 boards)</t>
  </si>
  <si>
    <t>Generic passives</t>
  </si>
  <si>
    <t>R/C/L with no MPN priced against a representative mainstream part (shown in MPN column).</t>
  </si>
  <si>
    <t>Item</t>
  </si>
  <si>
    <t>Reference Designators</t>
  </si>
  <si>
    <t>Qty/
Board</t>
  </si>
  <si>
    <t>Value / Description</t>
  </si>
  <si>
    <t>Package</t>
  </si>
  <si>
    <t>MPN (priced)</t>
  </si>
  <si>
    <t>Manufacturer</t>
  </si>
  <si>
    <t>Distributor</t>
  </si>
  <si>
    <t>Unit Price
@100</t>
  </si>
  <si>
    <t>Ext. Cost /
Board</t>
  </si>
  <si>
    <t>Ext. Cost
@100 bds</t>
  </si>
  <si>
    <t>Notes</t>
  </si>
  <si>
    <t>C1, C2, C16, C17, C26, C29, C31, C33, C34, C39, C40, C42, C60, C61, C63, C64, C67, C69, C73, C74, C75, C77, C79, C83, C84, C86, C90, C91</t>
  </si>
  <si>
    <t>100 nF (MLCC)</t>
  </si>
  <si>
    <t>0402</t>
  </si>
  <si>
    <t>CL05B104KO5NNNC</t>
  </si>
  <si>
    <t>Samsung</t>
  </si>
  <si>
    <t>LCSC</t>
  </si>
  <si>
    <t>C3, C4, C5, C47, C66, C70, C71, C72, C76, C82</t>
  </si>
  <si>
    <t>10 uF (MLCC)</t>
  </si>
  <si>
    <t>CL05A106MQ5NUNC</t>
  </si>
  <si>
    <t>C6</t>
  </si>
  <si>
    <t>220 nF (MLCC)</t>
  </si>
  <si>
    <t>CL05B224KO5NNNC</t>
  </si>
  <si>
    <t>C7, C18</t>
  </si>
  <si>
    <t>22 uF (MLCC)</t>
  </si>
  <si>
    <t>0603</t>
  </si>
  <si>
    <t>CL10A226MQ8NRNC</t>
  </si>
  <si>
    <t>Priced at nearest tier below 100</t>
  </si>
  <si>
    <t>C9, C10, C11, C13, C65</t>
  </si>
  <si>
    <t>47 uF (MLCC)</t>
  </si>
  <si>
    <t>1206</t>
  </si>
  <si>
    <t>CL31A476MQHNNNE</t>
  </si>
  <si>
    <t>C12</t>
  </si>
  <si>
    <t>10000 uF 16V alum electrolytic</t>
  </si>
  <si>
    <t>Radial can</t>
  </si>
  <si>
    <t>EKYC160ELL103MM25S</t>
  </si>
  <si>
    <t>Nichicon</t>
  </si>
  <si>
    <t>Octopart</t>
  </si>
  <si>
    <t>Not stocked at DK/Mouser/LCSC; qty-100 broker offer</t>
  </si>
  <si>
    <t>C14</t>
  </si>
  <si>
    <t>100 uF (MLCC)</t>
  </si>
  <si>
    <t>1210</t>
  </si>
  <si>
    <t>CL32A107MQVNNNE</t>
  </si>
  <si>
    <t>C15, C56</t>
  </si>
  <si>
    <t>330 uF 16V tant polymer</t>
  </si>
  <si>
    <t>Tant D</t>
  </si>
  <si>
    <t>TCJE337M016R0050</t>
  </si>
  <si>
    <t>Kemet</t>
  </si>
  <si>
    <t>C19, C21, C37, C38</t>
  </si>
  <si>
    <t>15 pF C0G</t>
  </si>
  <si>
    <t>CL05C150JB5NNNC</t>
  </si>
  <si>
    <t>C20, C22, C48, C49</t>
  </si>
  <si>
    <t>22 pF C0G</t>
  </si>
  <si>
    <t>CL05C220JB5NNNC</t>
  </si>
  <si>
    <t>C23, C24</t>
  </si>
  <si>
    <t>1.5 pF C0G</t>
  </si>
  <si>
    <t>CC0402CRNPO9BN1R5</t>
  </si>
  <si>
    <t>Yageo</t>
  </si>
  <si>
    <t>C25, C27, C30, C35, C41, C52, C54, C62, C78, C80, C81, C85, C87, C89</t>
  </si>
  <si>
    <t>1 uF (MLCC)</t>
  </si>
  <si>
    <t>CL05A105KA5NQNC</t>
  </si>
  <si>
    <t>C28, C57, C68</t>
  </si>
  <si>
    <t>10 nF (MLCC)</t>
  </si>
  <si>
    <t>CL05B103KB5NNNC</t>
  </si>
  <si>
    <t>C32, C36, C55, C58</t>
  </si>
  <si>
    <t>CL05A226MQ5QUNC</t>
  </si>
  <si>
    <t>C43</t>
  </si>
  <si>
    <t>0805</t>
  </si>
  <si>
    <t>CL21A106KOQNNNE</t>
  </si>
  <si>
    <t>C44</t>
  </si>
  <si>
    <t>390 pF C0G</t>
  </si>
  <si>
    <t>CL05C391JB5NNNC</t>
  </si>
  <si>
    <t>C45</t>
  </si>
  <si>
    <t>560 nF (MLCC)</t>
  </si>
  <si>
    <t>GRM155R61A564KE15D</t>
  </si>
  <si>
    <t>Murata</t>
  </si>
  <si>
    <t>Uncommon value, thin stock</t>
  </si>
  <si>
    <t>C46, C88</t>
  </si>
  <si>
    <t>2.2 nF X7R</t>
  </si>
  <si>
    <t>CC0402KRX7R9BB222</t>
  </si>
  <si>
    <t>C50</t>
  </si>
  <si>
    <t>4.3 nF U2J</t>
  </si>
  <si>
    <t>GRM1557U1A432JA01D</t>
  </si>
  <si>
    <t>C51</t>
  </si>
  <si>
    <t>8.2 nF X7R</t>
  </si>
  <si>
    <t>CC0402KRX7R9BB822</t>
  </si>
  <si>
    <t>C53, C59</t>
  </si>
  <si>
    <t>CL10A106MQ8NNNC</t>
  </si>
  <si>
    <t>CR1, CR2</t>
  </si>
  <si>
    <t>Schottky diode CUS10S30</t>
  </si>
  <si>
    <t>SOD-323</t>
  </si>
  <si>
    <t>CUS10S30,H3F</t>
  </si>
  <si>
    <t>Toshiba</t>
  </si>
  <si>
    <t>CR3</t>
  </si>
  <si>
    <t>TVS diode array</t>
  </si>
  <si>
    <t>SP05-LTF</t>
  </si>
  <si>
    <t>SP0503BAHTG</t>
  </si>
  <si>
    <t>Littelfuse</t>
  </si>
  <si>
    <t>Mouser</t>
  </si>
  <si>
    <t>Authorized stock; brokers lower</t>
  </si>
  <si>
    <t>D1, D2, D3, D4</t>
  </si>
  <si>
    <t>Schottky diode</t>
  </si>
  <si>
    <t>SOD-523</t>
  </si>
  <si>
    <t>BAT54XV2T1G</t>
  </si>
  <si>
    <t>onsemi</t>
  </si>
  <si>
    <t>D5</t>
  </si>
  <si>
    <t>TVS/ESD diode (generic)</t>
  </si>
  <si>
    <t>PESD0402-140</t>
  </si>
  <si>
    <t>Generic 0402 ESD chosen for D_TVS</t>
  </si>
  <si>
    <t>D6</t>
  </si>
  <si>
    <t>Green LED</t>
  </si>
  <si>
    <t>XL-1005UGC</t>
  </si>
  <si>
    <t>Xinglight</t>
  </si>
  <si>
    <t>Representative 0402 LED</t>
  </si>
  <si>
    <t>D7</t>
  </si>
  <si>
    <t>Blue LED</t>
  </si>
  <si>
    <t>NCD0402B1</t>
  </si>
  <si>
    <t>NationStar</t>
  </si>
  <si>
    <t>D8</t>
  </si>
  <si>
    <t>Red LED</t>
  </si>
  <si>
    <t>NCD0402R1</t>
  </si>
  <si>
    <t>FL1, FL2</t>
  </si>
  <si>
    <t>Ferrite bead 470R</t>
  </si>
  <si>
    <t>BLM18PG471SN1D</t>
  </si>
  <si>
    <t>J1</t>
  </si>
  <si>
    <t>JST SH 5-pin conn</t>
  </si>
  <si>
    <t>BM05B-SRSS-TB</t>
  </si>
  <si>
    <t>JST</t>
  </si>
  <si>
    <t>J2</t>
  </si>
  <si>
    <t>Terminal block 5-pos</t>
  </si>
  <si>
    <t>TBLH11-350</t>
  </si>
  <si>
    <t>TBLH11-350-05-BK</t>
  </si>
  <si>
    <t>Same Sky (CUI)</t>
  </si>
  <si>
    <t>J3</t>
  </si>
  <si>
    <t>Connector</t>
  </si>
  <si>
    <t>Molex 87832</t>
  </si>
  <si>
    <t>878321620</t>
  </si>
  <si>
    <t>Molex</t>
  </si>
  <si>
    <t>Not stocked at DK/Mouser/LCSC; Avnet qty-100</t>
  </si>
  <si>
    <t>J4</t>
  </si>
  <si>
    <t>JST PH 4-pin conn</t>
  </si>
  <si>
    <t>B4B-PH-SM4-TB</t>
  </si>
  <si>
    <t>J5</t>
  </si>
  <si>
    <t>JST SH 4-pin conn</t>
  </si>
  <si>
    <t>BM04B-SRSS-TB</t>
  </si>
  <si>
    <t>J6</t>
  </si>
  <si>
    <t>USB-C receptacle</t>
  </si>
  <si>
    <t>USB4110</t>
  </si>
  <si>
    <t>USB4110-GF-A</t>
  </si>
  <si>
    <t>GCT</t>
  </si>
  <si>
    <t>J7</t>
  </si>
  <si>
    <t>JST PH 2-pin conn</t>
  </si>
  <si>
    <t>B2B-PH-SM4-TB</t>
  </si>
  <si>
    <t>L1</t>
  </si>
  <si>
    <t>4.3 nH RF inductor</t>
  </si>
  <si>
    <t>LQW15AN4N3C00D</t>
  </si>
  <si>
    <t>Representative RF wirewound</t>
  </si>
  <si>
    <t>L2</t>
  </si>
  <si>
    <t>2.7 nH RF inductor</t>
  </si>
  <si>
    <t>LQW15AN2N7C00D</t>
  </si>
  <si>
    <t>L3</t>
  </si>
  <si>
    <t>24 nH RF inductor</t>
  </si>
  <si>
    <t>LQW15AN24NH00D</t>
  </si>
  <si>
    <t>L4</t>
  </si>
  <si>
    <t>2 nH RF inductor</t>
  </si>
  <si>
    <t>LQG15HS2N0S02D</t>
  </si>
  <si>
    <t>Representative RF multilayer</t>
  </si>
  <si>
    <t>L5, L6</t>
  </si>
  <si>
    <t>2.2 uH power inductor</t>
  </si>
  <si>
    <t>VLS3012</t>
  </si>
  <si>
    <t>VLS3012CX-2R2M-1</t>
  </si>
  <si>
    <t>TDK</t>
  </si>
  <si>
    <t>L7</t>
  </si>
  <si>
    <t>2.2 uH inductor</t>
  </si>
  <si>
    <t>ASMCI-0603-2R2M-T</t>
  </si>
  <si>
    <t>Abracon</t>
  </si>
  <si>
    <t>Newark</t>
  </si>
  <si>
    <t>Reel-only MOQ 4000; 1+ tier applied</t>
  </si>
  <si>
    <t>LS1</t>
  </si>
  <si>
    <t>Magnetic buzzer</t>
  </si>
  <si>
    <t>SMT-0540</t>
  </si>
  <si>
    <t>SMT-0540-T-9-R</t>
  </si>
  <si>
    <t>PUI Audio</t>
  </si>
  <si>
    <t>Q1, Q7, Q8, Q9, Q10</t>
  </si>
  <si>
    <t>MOSFET</t>
  </si>
  <si>
    <t>DFN2020</t>
  </si>
  <si>
    <t>PMPB14XNX</t>
  </si>
  <si>
    <t>Nexperia</t>
  </si>
  <si>
    <t>Q3, Q4, Q5, Q6</t>
  </si>
  <si>
    <t>Digital transistor</t>
  </si>
  <si>
    <t>SC-70</t>
  </si>
  <si>
    <t>DTC123JEBTL</t>
  </si>
  <si>
    <t>Rohm</t>
  </si>
  <si>
    <t>R1, R2, R50, R53</t>
  </si>
  <si>
    <t>100 K 1%</t>
  </si>
  <si>
    <t>RC0402FR-07100KL</t>
  </si>
  <si>
    <t>Digi-Key</t>
  </si>
  <si>
    <t>R3</t>
  </si>
  <si>
    <t>10 R 1%</t>
  </si>
  <si>
    <t>RC0402FR-0710RL</t>
  </si>
  <si>
    <t>R4, R5, R7, R15, R16, R17, R23, R25, R29, R30, R31, R32, R33, R35, R36, R42, R65, R66, R70</t>
  </si>
  <si>
    <t>10 k 1%</t>
  </si>
  <si>
    <t>RC0402FR-0710KL</t>
  </si>
  <si>
    <t>R6, R24, R27, R34</t>
  </si>
  <si>
    <t>1 k 1%</t>
  </si>
  <si>
    <t>RC0402FR-071KL</t>
  </si>
  <si>
    <t>R8, R10, R12, R18</t>
  </si>
  <si>
    <t>50 k -&gt; 49.9 k 1%</t>
  </si>
  <si>
    <t>RC0402FR-0749K9L</t>
  </si>
  <si>
    <t>50k not standard; 49.9k substituted</t>
  </si>
  <si>
    <t>R9, R11, R13, R19, R22, R28, R49, R59, R68</t>
  </si>
  <si>
    <t>100 k 1%</t>
  </si>
  <si>
    <t>R20</t>
  </si>
  <si>
    <t>150 R 0.5W</t>
  </si>
  <si>
    <t>RCP0603W150RGEB</t>
  </si>
  <si>
    <t>Vishay</t>
  </si>
  <si>
    <t>Avnet</t>
  </si>
  <si>
    <t>OOS at DK/Mouser; Avnet qty-100</t>
  </si>
  <si>
    <t>R21, R26, R48, R71</t>
  </si>
  <si>
    <t>100 R 1%</t>
  </si>
  <si>
    <t>RC0402FR-07100RL</t>
  </si>
  <si>
    <t>R37, R46</t>
  </si>
  <si>
    <t>10 K 1%</t>
  </si>
  <si>
    <t>R38, R39</t>
  </si>
  <si>
    <t>22 R 1%</t>
  </si>
  <si>
    <t>RC0402FR-0722RL</t>
  </si>
  <si>
    <t>R40, R41, R43, R47, R55, R58, R61, R62, R63, R67, R69</t>
  </si>
  <si>
    <t>5.11 k 1%</t>
  </si>
  <si>
    <t>RC0402FR-075K11L</t>
  </si>
  <si>
    <t>R44</t>
  </si>
  <si>
    <t>1 M 1%</t>
  </si>
  <si>
    <t>RC0402FR-071ML</t>
  </si>
  <si>
    <t>R45</t>
  </si>
  <si>
    <t>210 k 1%</t>
  </si>
  <si>
    <t>RC0402FR-07210KL</t>
  </si>
  <si>
    <t>R51</t>
  </si>
  <si>
    <t>22 k 1%</t>
  </si>
  <si>
    <t>RC0402FR-0722KL</t>
  </si>
  <si>
    <t>R52</t>
  </si>
  <si>
    <t>4.7 k 1%</t>
  </si>
  <si>
    <t>RC0402FR-074K7L</t>
  </si>
  <si>
    <t>R54</t>
  </si>
  <si>
    <t>1 K 1%</t>
  </si>
  <si>
    <t>R56</t>
  </si>
  <si>
    <t>12 k 1%</t>
  </si>
  <si>
    <t>RC0402FR-0712KL</t>
  </si>
  <si>
    <t>R57</t>
  </si>
  <si>
    <t>1.5 k 1%</t>
  </si>
  <si>
    <t>RC0402FR-071K5L</t>
  </si>
  <si>
    <t>R60</t>
  </si>
  <si>
    <t>15.4 k 1%</t>
  </si>
  <si>
    <t>RC0402FR-0715K4L</t>
  </si>
  <si>
    <t>R64</t>
  </si>
  <si>
    <t>18.7 k 1%</t>
  </si>
  <si>
    <t>RC0402FR-0718K7L</t>
  </si>
  <si>
    <t>R72</t>
  </si>
  <si>
    <t>2 mOhm current sense 1W</t>
  </si>
  <si>
    <t>CSSH0805FT2L00</t>
  </si>
  <si>
    <t>Stackpole</t>
  </si>
  <si>
    <t>R73</t>
  </si>
  <si>
    <t>RC0805FR-071KL</t>
  </si>
  <si>
    <t>S1</t>
  </si>
  <si>
    <t>Slide switch DPDT</t>
  </si>
  <si>
    <t>JS202011</t>
  </si>
  <si>
    <t>JS202011JCQN</t>
  </si>
  <si>
    <t>S2, S3</t>
  </si>
  <si>
    <t>Tactile switch</t>
  </si>
  <si>
    <t>KMR221</t>
  </si>
  <si>
    <t>KMR221GLFS</t>
  </si>
  <si>
    <t>C&amp;K</t>
  </si>
  <si>
    <t>U1</t>
  </si>
  <si>
    <t>USB switch DP3T</t>
  </si>
  <si>
    <t>UMLP-12</t>
  </si>
  <si>
    <t>FSUSB63UMX</t>
  </si>
  <si>
    <t>U2</t>
  </si>
  <si>
    <t>6-axis high-g IMU</t>
  </si>
  <si>
    <t>LGA-14</t>
  </si>
  <si>
    <t>ISM6HG256XTR</t>
  </si>
  <si>
    <t>STMicro</t>
  </si>
  <si>
    <t>High-cost driver; Digi-Key qty-100</t>
  </si>
  <si>
    <t>U3</t>
  </si>
  <si>
    <t>3-axis magnetometer</t>
  </si>
  <si>
    <t>LGA-12</t>
  </si>
  <si>
    <t>IIS2MDCTR</t>
  </si>
  <si>
    <t>U4</t>
  </si>
  <si>
    <t>Barometric pressure sensor</t>
  </si>
  <si>
    <t>LGA</t>
  </si>
  <si>
    <t>BMP585</t>
  </si>
  <si>
    <t>Bosch</t>
  </si>
  <si>
    <t>U6, U7, U8, U10</t>
  </si>
  <si>
    <t>TSON</t>
  </si>
  <si>
    <t>TPN4R712MD</t>
  </si>
  <si>
    <t>U9</t>
  </si>
  <si>
    <t>N-ch MOSFET</t>
  </si>
  <si>
    <t>VSON-8</t>
  </si>
  <si>
    <t>CSD16323Q3</t>
  </si>
  <si>
    <t>TI</t>
  </si>
  <si>
    <t>U11</t>
  </si>
  <si>
    <t>4 Gbit SPI NAND flash</t>
  </si>
  <si>
    <t>WSON-8</t>
  </si>
  <si>
    <t>F35SQB004G-WWT</t>
  </si>
  <si>
    <t>FORESEE (ESMT)</t>
  </si>
  <si>
    <t>FORESEE brand on LCSC; verify vs ESMT. High price - confirm</t>
  </si>
  <si>
    <t>U12</t>
  </si>
  <si>
    <t>1 Mbit SPI MRAM</t>
  </si>
  <si>
    <t>DFN-8</t>
  </si>
  <si>
    <t>MR25H10CDFR</t>
  </si>
  <si>
    <t>Everspin</t>
  </si>
  <si>
    <t>High-cost driver</t>
  </si>
  <si>
    <t>U13, U16</t>
  </si>
  <si>
    <t>64 Mbit SPI NOR flash</t>
  </si>
  <si>
    <t>W25Q64JVXGIQ</t>
  </si>
  <si>
    <t>Winbond</t>
  </si>
  <si>
    <t>U14</t>
  </si>
  <si>
    <t>2.4 GHz chip antenna</t>
  </si>
  <si>
    <t>Molex 47948</t>
  </si>
  <si>
    <t>47948-0001</t>
  </si>
  <si>
    <t>U15</t>
  </si>
  <si>
    <t>ESP32-S3 SoC (bare chip)</t>
  </si>
  <si>
    <t>QFN-56</t>
  </si>
  <si>
    <t>ESP32-S3FN8</t>
  </si>
  <si>
    <t>Espressif</t>
  </si>
  <si>
    <t>Priced ESP32-S3FN8 (8MB flash, no PSRAM); verify variant</t>
  </si>
  <si>
    <t>U17</t>
  </si>
  <si>
    <t>ESP32-P4 SoC (32Mb PSRAM)</t>
  </si>
  <si>
    <t>QFN</t>
  </si>
  <si>
    <t>ESP32-P4NRW32</t>
  </si>
  <si>
    <t>U18</t>
  </si>
  <si>
    <t>Buck converter</t>
  </si>
  <si>
    <t>QFN-16</t>
  </si>
  <si>
    <t>TPS62152RGTR</t>
  </si>
  <si>
    <t>U19</t>
  </si>
  <si>
    <t>eFuse / power switch</t>
  </si>
  <si>
    <t>TPS259824LNRGET</t>
  </si>
  <si>
    <t>U20</t>
  </si>
  <si>
    <t>SOT-563</t>
  </si>
  <si>
    <t>TLV62569DRLR</t>
  </si>
  <si>
    <t>U21</t>
  </si>
  <si>
    <t>Power mux / ideal diode</t>
  </si>
  <si>
    <t>TPS2121RUXR</t>
  </si>
  <si>
    <t>U22</t>
  </si>
  <si>
    <t>Load switch</t>
  </si>
  <si>
    <t>SOT-23-6</t>
  </si>
  <si>
    <t>TPS22918DBVR</t>
  </si>
  <si>
    <t>U23</t>
  </si>
  <si>
    <t>Current/power monitor</t>
  </si>
  <si>
    <t>INA230AIRGTR</t>
  </si>
  <si>
    <t>Y1, Y3</t>
  </si>
  <si>
    <t>32.768 kHz crystal</t>
  </si>
  <si>
    <t>ECS-.327</t>
  </si>
  <si>
    <t>ECS-.327-6-16R-TR</t>
  </si>
  <si>
    <t>ECS</t>
  </si>
  <si>
    <t>Y2, Y4</t>
  </si>
  <si>
    <t>40 MHz crystal</t>
  </si>
  <si>
    <t>ECS-400</t>
  </si>
  <si>
    <t>ECS-400-10-37B2-CKY-TR</t>
  </si>
  <si>
    <t>TOTAL</t>
  </si>
  <si>
    <t>per board  -&gt;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</si>
</sst>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.0000"/>
    <numFmt numFmtId="165" formatCode="\$#,##0.00"/>
  </numFmts>
  <fonts count="10" x14ac:knownFonts="1">
    <font>
      <sz val="11"/>
      <color theme="1"/>
      <name val="Calibri"/>
      <family val="2"/>
      <charset val="1"/>
    </font>
    <font>
      <b/>
      <sz val="15"/>
      <color rgb="FFFFFFFF"/>
      <name val="Arial"/>
      <family val="2"/>
    </font>
    <font>
      <sz val="9"/>
      <color rgb="FFFFFFFF"/>
      <name val="Arial"/>
      <family val="2"/>
    </font>
    <font>
      <b/>
      <sz val="11"/>
      <color rgb="FF1F3864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FF"/>
      <name val="Arial"/>
      <family val="2"/>
    </font>
    <font>
      <b/>
      <sz val="10"/>
      <color rgb="FFFFFFFF"/>
      <name val="Arial"/>
      <family val="2"/>
    </font>
    <font>
      <sz val="8"/>
      <color rgb="FF000000"/>
      <name val="Arial"/>
      <family val="2"/>
    </font>
    <font>
      <sz val="10"/>
      <color rgb="FF0000FF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1F2"/>
        <bgColor rgb="FFEEF3FB"/>
      </patternFill>
    </fill>
    <fill>
      <patternFill patternType="solid">
        <fgColor rgb="FFFFF2CC"/>
        <bgColor rgb="FFEEF3FB"/>
      </patternFill>
    </fill>
    <fill>
      <patternFill patternType="solid">
        <fgColor rgb="FF2E5496"/>
        <bgColor rgb="FF1F3864"/>
      </patternFill>
    </fill>
    <fill>
      <patternFill patternType="solid">
        <fgColor rgb="FFFFFFFF"/>
        <bgColor rgb="FFEEF3FB"/>
      </patternFill>
    </fill>
    <fill>
      <patternFill patternType="solid">
        <fgColor rgb="FFEEF3FB"/>
        <bgColor rgb="FFFFFFFF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5" fillId="0" borderId="1" xfId="0" applyFont="1" applyBorder="1" applyAlignment="1">
      <alignment vertical="center" wrapText="1"/>
    </xf>
    <xf numFmtId="0" fontId="2" fillId="2" borderId="0" xfId="0" applyFont="1" applyFill="1" applyAlignment="1">
      <alignment vertical="center"/>
    </xf>
    <xf numFmtId="0" fontId="1" fillId="2" borderId="0" xfId="0" applyFont="1" applyFill="1" applyAlignment="1">
      <alignment vertical="center"/>
    </xf>
    <xf numFmtId="0" fontId="3" fillId="0" borderId="0" xfId="0" applyFont="1" applyAlignment="1">
      <alignment vertical="center"/>
    </xf>
    <xf numFmtId="0" fontId="4" fillId="3" borderId="1" xfId="0" applyFont="1" applyFill="1" applyBorder="1" applyAlignment="1">
      <alignment vertical="center"/>
    </xf>
    <xf numFmtId="164" fontId="4" fillId="4" borderId="1" xfId="0" applyNumberFormat="1" applyFont="1" applyFill="1" applyBorder="1" applyAlignment="1">
      <alignment vertical="center"/>
    </xf>
    <xf numFmtId="3" fontId="5" fillId="0" borderId="1" xfId="0" applyNumberFormat="1" applyFont="1" applyBorder="1" applyAlignment="1">
      <alignment vertical="center"/>
    </xf>
    <xf numFmtId="3" fontId="6" fillId="4" borderId="1" xfId="0" applyNumberFormat="1" applyFont="1" applyFill="1" applyBorder="1" applyAlignment="1">
      <alignment vertical="center"/>
    </xf>
    <xf numFmtId="165" fontId="4" fillId="4" borderId="1" xfId="0" applyNumberFormat="1" applyFont="1" applyFill="1" applyBorder="1" applyAlignment="1">
      <alignment vertical="center"/>
    </xf>
    <xf numFmtId="0" fontId="7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/>
    </xf>
    <xf numFmtId="0" fontId="8" fillId="6" borderId="1" xfId="0" applyFont="1" applyFill="1" applyBorder="1" applyAlignment="1">
      <alignment vertical="center" wrapText="1"/>
    </xf>
    <xf numFmtId="3" fontId="5" fillId="6" borderId="1" xfId="0" applyNumberFormat="1" applyFont="1" applyFill="1" applyBorder="1" applyAlignment="1">
      <alignment horizontal="center" vertical="center"/>
    </xf>
    <xf numFmtId="0" fontId="5" fillId="6" borderId="1" xfId="0" applyFont="1" applyFill="1" applyBorder="1" applyAlignment="1">
      <alignment vertical="center"/>
    </xf>
    <xf numFmtId="164" fontId="9" fillId="6" borderId="1" xfId="0" applyNumberFormat="1" applyFont="1" applyFill="1" applyBorder="1" applyAlignment="1">
      <alignment horizontal="right" vertical="center"/>
    </xf>
    <xf numFmtId="164" fontId="5" fillId="6" borderId="1" xfId="0" applyNumberFormat="1" applyFont="1" applyFill="1" applyBorder="1" applyAlignment="1">
      <alignment horizontal="right" vertical="center"/>
    </xf>
    <xf numFmtId="165" fontId="5" fillId="6" borderId="1" xfId="0" applyNumberFormat="1" applyFont="1" applyFill="1" applyBorder="1" applyAlignment="1">
      <alignment horizontal="right" vertical="center"/>
    </xf>
    <xf numFmtId="0" fontId="5" fillId="7" borderId="1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vertical="center" wrapText="1"/>
    </xf>
    <xf numFmtId="3" fontId="5" fillId="7" borderId="1" xfId="0" applyNumberFormat="1" applyFont="1" applyFill="1" applyBorder="1" applyAlignment="1">
      <alignment horizontal="center" vertical="center"/>
    </xf>
    <xf numFmtId="0" fontId="5" fillId="7" borderId="1" xfId="0" applyFont="1" applyFill="1" applyBorder="1" applyAlignment="1">
      <alignment vertical="center"/>
    </xf>
    <xf numFmtId="164" fontId="9" fillId="7" borderId="1" xfId="0" applyNumberFormat="1" applyFont="1" applyFill="1" applyBorder="1" applyAlignment="1">
      <alignment horizontal="right" vertical="center"/>
    </xf>
    <xf numFmtId="164" fontId="5" fillId="7" borderId="1" xfId="0" applyNumberFormat="1" applyFont="1" applyFill="1" applyBorder="1" applyAlignment="1">
      <alignment horizontal="right" vertical="center"/>
    </xf>
    <xf numFmtId="165" fontId="5" fillId="7" borderId="1" xfId="0" applyNumberFormat="1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center" vertical="center"/>
    </xf>
    <xf numFmtId="0" fontId="0" fillId="2" borderId="1" xfId="0" applyFill="1" applyBorder="1"/>
    <xf numFmtId="3" fontId="7" fillId="2" borderId="1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right" vertical="center"/>
    </xf>
    <xf numFmtId="0" fontId="5" fillId="2" borderId="1" xfId="0" applyFont="1" applyFill="1" applyBorder="1" applyAlignment="1">
      <alignment vertical="center"/>
    </xf>
    <xf numFmtId="164" fontId="7" fillId="2" borderId="1" xfId="0" applyNumberFormat="1" applyFont="1" applyFill="1" applyBorder="1" applyAlignment="1">
      <alignment horizontal="right" vertical="center"/>
    </xf>
    <xf numFmtId="165" fontId="7" fillId="2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EF3FB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2E5496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2"/>
  <sheetViews>
    <sheetView showGridLines="0" tabSelected="1" zoomScaleNormal="100" workbookViewId="0">
      <pane ySplit="12" topLeftCell="A13" activePane="bottomLeft" state="frozen"/>
      <selection pane="bottomLeft" activeCell="A18" sqref="A18:XFD18"/>
    </sheetView>
  </sheetViews>
  <sheetFormatPr baseColWidth="10" defaultColWidth="8.6640625" defaultRowHeight="15" x14ac:dyDescent="0.2"/>
  <cols>
    <col min="1" max="1" width="6" customWidth="1"/>
    <col min="2" max="2" width="34" customWidth="1"/>
    <col min="3" max="3" width="7" customWidth="1"/>
    <col min="4" max="4" width="26" customWidth="1"/>
    <col min="5" max="5" width="14" customWidth="1"/>
    <col min="6" max="6" width="22" customWidth="1"/>
    <col min="7" max="7" width="16" customWidth="1"/>
    <col min="8" max="8" width="12" customWidth="1"/>
    <col min="9" max="9" width="11" customWidth="1"/>
    <col min="10" max="10" width="12" customWidth="1"/>
    <col min="11" max="11" width="13" customWidth="1"/>
    <col min="12" max="12" width="34" customWidth="1"/>
  </cols>
  <sheetData>
    <row r="1" spans="1:12" ht="25.5" customHeight="1" x14ac:dyDescent="0.2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</row>
    <row r="2" spans="1:12" ht="15.75" customHeight="1" x14ac:dyDescent="0.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spans="1:12" x14ac:dyDescent="0.2">
      <c r="A4" s="4" t="s">
        <v>2</v>
      </c>
    </row>
    <row r="5" spans="1:12" ht="15" customHeight="1" x14ac:dyDescent="0.2">
      <c r="A5" s="5" t="s">
        <v>3</v>
      </c>
      <c r="B5" s="6">
        <f>J102</f>
        <v>86.003199999999964</v>
      </c>
      <c r="D5" s="5" t="s">
        <v>4</v>
      </c>
      <c r="E5" s="7">
        <v>89</v>
      </c>
      <c r="G5" s="5" t="s">
        <v>5</v>
      </c>
      <c r="H5" s="1" t="s">
        <v>6</v>
      </c>
      <c r="I5" s="1"/>
      <c r="J5" s="1"/>
      <c r="K5" s="1"/>
      <c r="L5" s="1"/>
    </row>
    <row r="6" spans="1:12" ht="15" customHeight="1" x14ac:dyDescent="0.2">
      <c r="A6" s="5" t="s">
        <v>7</v>
      </c>
      <c r="B6" s="8">
        <v>100</v>
      </c>
      <c r="D6" s="5" t="s">
        <v>8</v>
      </c>
      <c r="E6" s="7">
        <f>SUM(C13:C101)</f>
        <v>228</v>
      </c>
      <c r="G6" s="5" t="s">
        <v>9</v>
      </c>
      <c r="H6" s="1" t="s">
        <v>10</v>
      </c>
      <c r="I6" s="1"/>
      <c r="J6" s="1"/>
      <c r="K6" s="1"/>
      <c r="L6" s="1"/>
    </row>
    <row r="7" spans="1:12" ht="15" customHeight="1" x14ac:dyDescent="0.2">
      <c r="A7" s="5" t="s">
        <v>11</v>
      </c>
      <c r="B7" s="9">
        <f>B5*B6</f>
        <v>8600.3199999999961</v>
      </c>
      <c r="D7" s="5" t="s">
        <v>12</v>
      </c>
      <c r="E7" s="7">
        <f>E6*100</f>
        <v>22800</v>
      </c>
      <c r="G7" s="5" t="s">
        <v>13</v>
      </c>
      <c r="H7" s="1" t="s">
        <v>14</v>
      </c>
      <c r="I7" s="1"/>
      <c r="J7" s="1"/>
      <c r="K7" s="1"/>
      <c r="L7" s="1"/>
    </row>
    <row r="12" spans="1:12" ht="30" customHeight="1" x14ac:dyDescent="0.2">
      <c r="A12" s="10" t="s">
        <v>15</v>
      </c>
      <c r="B12" s="10" t="s">
        <v>16</v>
      </c>
      <c r="C12" s="10" t="s">
        <v>17</v>
      </c>
      <c r="D12" s="10" t="s">
        <v>18</v>
      </c>
      <c r="E12" s="10" t="s">
        <v>19</v>
      </c>
      <c r="F12" s="10" t="s">
        <v>20</v>
      </c>
      <c r="G12" s="10" t="s">
        <v>21</v>
      </c>
      <c r="H12" s="10" t="s">
        <v>22</v>
      </c>
      <c r="I12" s="10" t="s">
        <v>23</v>
      </c>
      <c r="J12" s="10" t="s">
        <v>24</v>
      </c>
      <c r="K12" s="10" t="s">
        <v>25</v>
      </c>
      <c r="L12" s="10" t="s">
        <v>26</v>
      </c>
    </row>
    <row r="13" spans="1:12" ht="36" x14ac:dyDescent="0.2">
      <c r="A13" s="11">
        <v>1</v>
      </c>
      <c r="B13" s="12" t="s">
        <v>27</v>
      </c>
      <c r="C13" s="13">
        <v>28</v>
      </c>
      <c r="D13" s="14" t="s">
        <v>28</v>
      </c>
      <c r="E13" s="11" t="s">
        <v>29</v>
      </c>
      <c r="F13" s="14" t="s">
        <v>30</v>
      </c>
      <c r="G13" s="14" t="s">
        <v>31</v>
      </c>
      <c r="H13" s="11" t="s">
        <v>32</v>
      </c>
      <c r="I13" s="15">
        <v>5.3E-3</v>
      </c>
      <c r="J13" s="16">
        <f t="shared" ref="J13:J44" si="0">C13*I13</f>
        <v>0.1484</v>
      </c>
      <c r="K13" s="17">
        <f t="shared" ref="K13:K44" si="1">J13*100</f>
        <v>14.84</v>
      </c>
      <c r="L13" s="12"/>
    </row>
    <row r="14" spans="1:12" x14ac:dyDescent="0.2">
      <c r="A14" s="18">
        <v>2</v>
      </c>
      <c r="B14" s="19" t="s">
        <v>33</v>
      </c>
      <c r="C14" s="20">
        <v>10</v>
      </c>
      <c r="D14" s="21" t="s">
        <v>34</v>
      </c>
      <c r="E14" s="18" t="s">
        <v>29</v>
      </c>
      <c r="F14" s="21" t="s">
        <v>35</v>
      </c>
      <c r="G14" s="21" t="s">
        <v>31</v>
      </c>
      <c r="H14" s="18" t="s">
        <v>32</v>
      </c>
      <c r="I14" s="22">
        <v>3.5400000000000001E-2</v>
      </c>
      <c r="J14" s="23">
        <f t="shared" si="0"/>
        <v>0.35399999999999998</v>
      </c>
      <c r="K14" s="24">
        <f t="shared" si="1"/>
        <v>35.4</v>
      </c>
      <c r="L14" s="19"/>
    </row>
    <row r="15" spans="1:12" x14ac:dyDescent="0.2">
      <c r="A15" s="11">
        <v>3</v>
      </c>
      <c r="B15" s="12" t="s">
        <v>36</v>
      </c>
      <c r="C15" s="13">
        <v>1</v>
      </c>
      <c r="D15" s="14" t="s">
        <v>37</v>
      </c>
      <c r="E15" s="11" t="s">
        <v>29</v>
      </c>
      <c r="F15" s="14" t="s">
        <v>38</v>
      </c>
      <c r="G15" s="14" t="s">
        <v>31</v>
      </c>
      <c r="H15" s="11" t="s">
        <v>32</v>
      </c>
      <c r="I15" s="15">
        <v>7.1000000000000004E-3</v>
      </c>
      <c r="J15" s="16">
        <f t="shared" si="0"/>
        <v>7.1000000000000004E-3</v>
      </c>
      <c r="K15" s="17">
        <f t="shared" si="1"/>
        <v>0.71000000000000008</v>
      </c>
      <c r="L15" s="12"/>
    </row>
    <row r="16" spans="1:12" x14ac:dyDescent="0.2">
      <c r="A16" s="18">
        <v>4</v>
      </c>
      <c r="B16" s="19" t="s">
        <v>39</v>
      </c>
      <c r="C16" s="20">
        <v>2</v>
      </c>
      <c r="D16" s="21" t="s">
        <v>40</v>
      </c>
      <c r="E16" s="18" t="s">
        <v>41</v>
      </c>
      <c r="F16" s="21" t="s">
        <v>42</v>
      </c>
      <c r="G16" s="21" t="s">
        <v>31</v>
      </c>
      <c r="H16" s="18" t="s">
        <v>32</v>
      </c>
      <c r="I16" s="22">
        <v>4.0899999999999999E-2</v>
      </c>
      <c r="J16" s="23">
        <f t="shared" si="0"/>
        <v>8.1799999999999998E-2</v>
      </c>
      <c r="K16" s="24">
        <f t="shared" si="1"/>
        <v>8.18</v>
      </c>
      <c r="L16" s="19" t="s">
        <v>43</v>
      </c>
    </row>
    <row r="17" spans="1:12" x14ac:dyDescent="0.2">
      <c r="A17" s="11">
        <v>5</v>
      </c>
      <c r="B17" s="12" t="s">
        <v>44</v>
      </c>
      <c r="C17" s="13">
        <v>5</v>
      </c>
      <c r="D17" s="14" t="s">
        <v>45</v>
      </c>
      <c r="E17" s="11" t="s">
        <v>46</v>
      </c>
      <c r="F17" s="14" t="s">
        <v>47</v>
      </c>
      <c r="G17" s="14" t="s">
        <v>31</v>
      </c>
      <c r="H17" s="11" t="s">
        <v>32</v>
      </c>
      <c r="I17" s="15">
        <v>0.1885</v>
      </c>
      <c r="J17" s="16">
        <f t="shared" si="0"/>
        <v>0.9425</v>
      </c>
      <c r="K17" s="17">
        <f t="shared" si="1"/>
        <v>94.25</v>
      </c>
      <c r="L17" s="12"/>
    </row>
    <row r="18" spans="1:12" x14ac:dyDescent="0.2">
      <c r="A18" s="18">
        <v>6</v>
      </c>
      <c r="B18" s="19" t="s">
        <v>48</v>
      </c>
      <c r="C18" s="20">
        <v>1</v>
      </c>
      <c r="D18" s="21" t="s">
        <v>49</v>
      </c>
      <c r="E18" s="18" t="s">
        <v>50</v>
      </c>
      <c r="F18" s="21" t="s">
        <v>51</v>
      </c>
      <c r="G18" s="21" t="s">
        <v>52</v>
      </c>
      <c r="H18" s="18" t="s">
        <v>53</v>
      </c>
      <c r="I18" s="22">
        <v>1.2649999999999999</v>
      </c>
      <c r="J18" s="23">
        <f t="shared" si="0"/>
        <v>1.2649999999999999</v>
      </c>
      <c r="K18" s="24">
        <f t="shared" si="1"/>
        <v>126.49999999999999</v>
      </c>
      <c r="L18" s="19" t="s">
        <v>54</v>
      </c>
    </row>
    <row r="19" spans="1:12" x14ac:dyDescent="0.2">
      <c r="A19" s="11">
        <v>7</v>
      </c>
      <c r="B19" s="12" t="s">
        <v>55</v>
      </c>
      <c r="C19" s="13">
        <v>1</v>
      </c>
      <c r="D19" s="14" t="s">
        <v>56</v>
      </c>
      <c r="E19" s="11" t="s">
        <v>57</v>
      </c>
      <c r="F19" s="14" t="s">
        <v>58</v>
      </c>
      <c r="G19" s="14" t="s">
        <v>31</v>
      </c>
      <c r="H19" s="11" t="s">
        <v>32</v>
      </c>
      <c r="I19" s="15">
        <v>0.15820000000000001</v>
      </c>
      <c r="J19" s="16">
        <f t="shared" si="0"/>
        <v>0.15820000000000001</v>
      </c>
      <c r="K19" s="17">
        <f t="shared" si="1"/>
        <v>15.82</v>
      </c>
      <c r="L19" s="12"/>
    </row>
    <row r="20" spans="1:12" x14ac:dyDescent="0.2">
      <c r="A20" s="18">
        <v>8</v>
      </c>
      <c r="B20" s="19" t="s">
        <v>59</v>
      </c>
      <c r="C20" s="20">
        <v>2</v>
      </c>
      <c r="D20" s="21" t="s">
        <v>60</v>
      </c>
      <c r="E20" s="18" t="s">
        <v>61</v>
      </c>
      <c r="F20" s="21" t="s">
        <v>62</v>
      </c>
      <c r="G20" s="21" t="s">
        <v>63</v>
      </c>
      <c r="H20" s="18" t="s">
        <v>53</v>
      </c>
      <c r="I20" s="22">
        <v>1.71</v>
      </c>
      <c r="J20" s="23">
        <f t="shared" si="0"/>
        <v>3.42</v>
      </c>
      <c r="K20" s="24">
        <f t="shared" si="1"/>
        <v>342</v>
      </c>
      <c r="L20" s="19"/>
    </row>
    <row r="21" spans="1:12" x14ac:dyDescent="0.2">
      <c r="A21" s="11">
        <v>9</v>
      </c>
      <c r="B21" s="12" t="s">
        <v>64</v>
      </c>
      <c r="C21" s="13">
        <v>4</v>
      </c>
      <c r="D21" s="14" t="s">
        <v>65</v>
      </c>
      <c r="E21" s="11" t="s">
        <v>29</v>
      </c>
      <c r="F21" s="14" t="s">
        <v>66</v>
      </c>
      <c r="G21" s="14" t="s">
        <v>31</v>
      </c>
      <c r="H21" s="11" t="s">
        <v>32</v>
      </c>
      <c r="I21" s="15">
        <v>4.5999999999999999E-3</v>
      </c>
      <c r="J21" s="16">
        <f t="shared" si="0"/>
        <v>1.84E-2</v>
      </c>
      <c r="K21" s="17">
        <f t="shared" si="1"/>
        <v>1.8399999999999999</v>
      </c>
      <c r="L21" s="12"/>
    </row>
    <row r="22" spans="1:12" x14ac:dyDescent="0.2">
      <c r="A22" s="18">
        <v>10</v>
      </c>
      <c r="B22" s="19" t="s">
        <v>67</v>
      </c>
      <c r="C22" s="20">
        <v>4</v>
      </c>
      <c r="D22" s="21" t="s">
        <v>68</v>
      </c>
      <c r="E22" s="18" t="s">
        <v>29</v>
      </c>
      <c r="F22" s="21" t="s">
        <v>69</v>
      </c>
      <c r="G22" s="21" t="s">
        <v>31</v>
      </c>
      <c r="H22" s="18" t="s">
        <v>32</v>
      </c>
      <c r="I22" s="22">
        <v>4.5999999999999999E-3</v>
      </c>
      <c r="J22" s="23">
        <f t="shared" si="0"/>
        <v>1.84E-2</v>
      </c>
      <c r="K22" s="24">
        <f t="shared" si="1"/>
        <v>1.8399999999999999</v>
      </c>
      <c r="L22" s="19"/>
    </row>
    <row r="23" spans="1:12" x14ac:dyDescent="0.2">
      <c r="A23" s="11">
        <v>11</v>
      </c>
      <c r="B23" s="12" t="s">
        <v>70</v>
      </c>
      <c r="C23" s="13">
        <v>2</v>
      </c>
      <c r="D23" s="14" t="s">
        <v>71</v>
      </c>
      <c r="E23" s="11" t="s">
        <v>29</v>
      </c>
      <c r="F23" s="14" t="s">
        <v>72</v>
      </c>
      <c r="G23" s="14" t="s">
        <v>73</v>
      </c>
      <c r="H23" s="11" t="s">
        <v>53</v>
      </c>
      <c r="I23" s="15">
        <v>7.0000000000000001E-3</v>
      </c>
      <c r="J23" s="16">
        <f t="shared" si="0"/>
        <v>1.4E-2</v>
      </c>
      <c r="K23" s="17">
        <f t="shared" si="1"/>
        <v>1.4000000000000001</v>
      </c>
      <c r="L23" s="12"/>
    </row>
    <row r="24" spans="1:12" ht="24" x14ac:dyDescent="0.2">
      <c r="A24" s="18">
        <v>12</v>
      </c>
      <c r="B24" s="19" t="s">
        <v>74</v>
      </c>
      <c r="C24" s="20">
        <v>14</v>
      </c>
      <c r="D24" s="21" t="s">
        <v>75</v>
      </c>
      <c r="E24" s="18" t="s">
        <v>29</v>
      </c>
      <c r="F24" s="21" t="s">
        <v>76</v>
      </c>
      <c r="G24" s="21" t="s">
        <v>31</v>
      </c>
      <c r="H24" s="18" t="s">
        <v>32</v>
      </c>
      <c r="I24" s="22">
        <v>2.1399999999999999E-2</v>
      </c>
      <c r="J24" s="23">
        <f t="shared" si="0"/>
        <v>0.29959999999999998</v>
      </c>
      <c r="K24" s="24">
        <f t="shared" si="1"/>
        <v>29.959999999999997</v>
      </c>
      <c r="L24" s="19"/>
    </row>
    <row r="25" spans="1:12" x14ac:dyDescent="0.2">
      <c r="A25" s="11">
        <v>13</v>
      </c>
      <c r="B25" s="12" t="s">
        <v>77</v>
      </c>
      <c r="C25" s="13">
        <v>3</v>
      </c>
      <c r="D25" s="14" t="s">
        <v>78</v>
      </c>
      <c r="E25" s="11" t="s">
        <v>29</v>
      </c>
      <c r="F25" s="14" t="s">
        <v>79</v>
      </c>
      <c r="G25" s="14" t="s">
        <v>31</v>
      </c>
      <c r="H25" s="11" t="s">
        <v>32</v>
      </c>
      <c r="I25" s="15">
        <v>6.4000000000000003E-3</v>
      </c>
      <c r="J25" s="16">
        <f t="shared" si="0"/>
        <v>1.9200000000000002E-2</v>
      </c>
      <c r="K25" s="17">
        <f t="shared" si="1"/>
        <v>1.9200000000000002</v>
      </c>
      <c r="L25" s="12"/>
    </row>
    <row r="26" spans="1:12" x14ac:dyDescent="0.2">
      <c r="A26" s="18">
        <v>14</v>
      </c>
      <c r="B26" s="19" t="s">
        <v>80</v>
      </c>
      <c r="C26" s="20">
        <v>4</v>
      </c>
      <c r="D26" s="21" t="s">
        <v>40</v>
      </c>
      <c r="E26" s="18" t="s">
        <v>29</v>
      </c>
      <c r="F26" s="21" t="s">
        <v>81</v>
      </c>
      <c r="G26" s="21" t="s">
        <v>31</v>
      </c>
      <c r="H26" s="18" t="s">
        <v>32</v>
      </c>
      <c r="I26" s="22">
        <v>4.1000000000000002E-2</v>
      </c>
      <c r="J26" s="23">
        <f t="shared" si="0"/>
        <v>0.16400000000000001</v>
      </c>
      <c r="K26" s="24">
        <f t="shared" si="1"/>
        <v>16.400000000000002</v>
      </c>
      <c r="L26" s="19"/>
    </row>
    <row r="27" spans="1:12" x14ac:dyDescent="0.2">
      <c r="A27" s="11">
        <v>15</v>
      </c>
      <c r="B27" s="12" t="s">
        <v>82</v>
      </c>
      <c r="C27" s="13">
        <v>1</v>
      </c>
      <c r="D27" s="14" t="s">
        <v>34</v>
      </c>
      <c r="E27" s="11" t="s">
        <v>83</v>
      </c>
      <c r="F27" s="14" t="s">
        <v>84</v>
      </c>
      <c r="G27" s="14" t="s">
        <v>31</v>
      </c>
      <c r="H27" s="11" t="s">
        <v>32</v>
      </c>
      <c r="I27" s="15">
        <v>8.2699999999999996E-2</v>
      </c>
      <c r="J27" s="16">
        <f t="shared" si="0"/>
        <v>8.2699999999999996E-2</v>
      </c>
      <c r="K27" s="17">
        <f t="shared" si="1"/>
        <v>8.27</v>
      </c>
      <c r="L27" s="12"/>
    </row>
    <row r="28" spans="1:12" x14ac:dyDescent="0.2">
      <c r="A28" s="18">
        <v>16</v>
      </c>
      <c r="B28" s="19" t="s">
        <v>85</v>
      </c>
      <c r="C28" s="20">
        <v>1</v>
      </c>
      <c r="D28" s="21" t="s">
        <v>86</v>
      </c>
      <c r="E28" s="18" t="s">
        <v>29</v>
      </c>
      <c r="F28" s="21" t="s">
        <v>87</v>
      </c>
      <c r="G28" s="21" t="s">
        <v>31</v>
      </c>
      <c r="H28" s="18" t="s">
        <v>53</v>
      </c>
      <c r="I28" s="22">
        <v>3.0000000000000001E-3</v>
      </c>
      <c r="J28" s="23">
        <f t="shared" si="0"/>
        <v>3.0000000000000001E-3</v>
      </c>
      <c r="K28" s="24">
        <f t="shared" si="1"/>
        <v>0.3</v>
      </c>
      <c r="L28" s="19"/>
    </row>
    <row r="29" spans="1:12" x14ac:dyDescent="0.2">
      <c r="A29" s="11">
        <v>17</v>
      </c>
      <c r="B29" s="12" t="s">
        <v>88</v>
      </c>
      <c r="C29" s="13">
        <v>1</v>
      </c>
      <c r="D29" s="14" t="s">
        <v>89</v>
      </c>
      <c r="E29" s="11" t="s">
        <v>29</v>
      </c>
      <c r="F29" s="14" t="s">
        <v>90</v>
      </c>
      <c r="G29" s="14" t="s">
        <v>91</v>
      </c>
      <c r="H29" s="11" t="s">
        <v>53</v>
      </c>
      <c r="I29" s="15">
        <v>5.0999999999999997E-2</v>
      </c>
      <c r="J29" s="16">
        <f t="shared" si="0"/>
        <v>5.0999999999999997E-2</v>
      </c>
      <c r="K29" s="17">
        <f t="shared" si="1"/>
        <v>5.0999999999999996</v>
      </c>
      <c r="L29" s="12" t="s">
        <v>92</v>
      </c>
    </row>
    <row r="30" spans="1:12" x14ac:dyDescent="0.2">
      <c r="A30" s="18">
        <v>18</v>
      </c>
      <c r="B30" s="19" t="s">
        <v>93</v>
      </c>
      <c r="C30" s="20">
        <v>2</v>
      </c>
      <c r="D30" s="21" t="s">
        <v>94</v>
      </c>
      <c r="E30" s="18" t="s">
        <v>29</v>
      </c>
      <c r="F30" s="21" t="s">
        <v>95</v>
      </c>
      <c r="G30" s="21" t="s">
        <v>73</v>
      </c>
      <c r="H30" s="18" t="s">
        <v>32</v>
      </c>
      <c r="I30" s="22">
        <v>2.8999999999999998E-3</v>
      </c>
      <c r="J30" s="23">
        <f t="shared" si="0"/>
        <v>5.7999999999999996E-3</v>
      </c>
      <c r="K30" s="24">
        <f t="shared" si="1"/>
        <v>0.57999999999999996</v>
      </c>
      <c r="L30" s="19"/>
    </row>
    <row r="31" spans="1:12" x14ac:dyDescent="0.2">
      <c r="A31" s="11">
        <v>19</v>
      </c>
      <c r="B31" s="12" t="s">
        <v>96</v>
      </c>
      <c r="C31" s="13">
        <v>1</v>
      </c>
      <c r="D31" s="14" t="s">
        <v>97</v>
      </c>
      <c r="E31" s="11" t="s">
        <v>29</v>
      </c>
      <c r="F31" s="14" t="s">
        <v>98</v>
      </c>
      <c r="G31" s="14" t="s">
        <v>91</v>
      </c>
      <c r="H31" s="11" t="s">
        <v>53</v>
      </c>
      <c r="I31" s="15">
        <v>2.4E-2</v>
      </c>
      <c r="J31" s="16">
        <f t="shared" si="0"/>
        <v>2.4E-2</v>
      </c>
      <c r="K31" s="17">
        <f t="shared" si="1"/>
        <v>2.4</v>
      </c>
      <c r="L31" s="12" t="s">
        <v>92</v>
      </c>
    </row>
    <row r="32" spans="1:12" x14ac:dyDescent="0.2">
      <c r="A32" s="18">
        <v>20</v>
      </c>
      <c r="B32" s="19" t="s">
        <v>99</v>
      </c>
      <c r="C32" s="20">
        <v>1</v>
      </c>
      <c r="D32" s="21" t="s">
        <v>100</v>
      </c>
      <c r="E32" s="18" t="s">
        <v>29</v>
      </c>
      <c r="F32" s="21" t="s">
        <v>101</v>
      </c>
      <c r="G32" s="21" t="s">
        <v>73</v>
      </c>
      <c r="H32" s="18" t="s">
        <v>53</v>
      </c>
      <c r="I32" s="22">
        <v>5.0000000000000001E-3</v>
      </c>
      <c r="J32" s="23">
        <f t="shared" si="0"/>
        <v>5.0000000000000001E-3</v>
      </c>
      <c r="K32" s="24">
        <f t="shared" si="1"/>
        <v>0.5</v>
      </c>
      <c r="L32" s="19"/>
    </row>
    <row r="33" spans="1:12" x14ac:dyDescent="0.2">
      <c r="A33" s="11">
        <v>21</v>
      </c>
      <c r="B33" s="12" t="s">
        <v>102</v>
      </c>
      <c r="C33" s="13">
        <v>2</v>
      </c>
      <c r="D33" s="14" t="s">
        <v>34</v>
      </c>
      <c r="E33" s="11" t="s">
        <v>41</v>
      </c>
      <c r="F33" s="14" t="s">
        <v>103</v>
      </c>
      <c r="G33" s="14" t="s">
        <v>31</v>
      </c>
      <c r="H33" s="11" t="s">
        <v>32</v>
      </c>
      <c r="I33" s="15">
        <v>2.0400000000000001E-2</v>
      </c>
      <c r="J33" s="16">
        <f t="shared" si="0"/>
        <v>4.0800000000000003E-2</v>
      </c>
      <c r="K33" s="17">
        <f t="shared" si="1"/>
        <v>4.08</v>
      </c>
      <c r="L33" s="12"/>
    </row>
    <row r="34" spans="1:12" x14ac:dyDescent="0.2">
      <c r="A34" s="18">
        <v>22</v>
      </c>
      <c r="B34" s="19" t="s">
        <v>104</v>
      </c>
      <c r="C34" s="20">
        <v>2</v>
      </c>
      <c r="D34" s="21" t="s">
        <v>105</v>
      </c>
      <c r="E34" s="18" t="s">
        <v>106</v>
      </c>
      <c r="F34" s="21" t="s">
        <v>107</v>
      </c>
      <c r="G34" s="21" t="s">
        <v>108</v>
      </c>
      <c r="H34" s="18" t="s">
        <v>32</v>
      </c>
      <c r="I34" s="22">
        <v>3.8600000000000002E-2</v>
      </c>
      <c r="J34" s="23">
        <f t="shared" si="0"/>
        <v>7.7200000000000005E-2</v>
      </c>
      <c r="K34" s="24">
        <f t="shared" si="1"/>
        <v>7.7200000000000006</v>
      </c>
      <c r="L34" s="19"/>
    </row>
    <row r="35" spans="1:12" x14ac:dyDescent="0.2">
      <c r="A35" s="11">
        <v>23</v>
      </c>
      <c r="B35" s="12" t="s">
        <v>109</v>
      </c>
      <c r="C35" s="13">
        <v>1</v>
      </c>
      <c r="D35" s="14" t="s">
        <v>110</v>
      </c>
      <c r="E35" s="11" t="s">
        <v>111</v>
      </c>
      <c r="F35" s="14" t="s">
        <v>112</v>
      </c>
      <c r="G35" s="14" t="s">
        <v>113</v>
      </c>
      <c r="H35" s="11" t="s">
        <v>114</v>
      </c>
      <c r="I35" s="15">
        <v>0.56499999999999995</v>
      </c>
      <c r="J35" s="16">
        <f t="shared" si="0"/>
        <v>0.56499999999999995</v>
      </c>
      <c r="K35" s="17">
        <f t="shared" si="1"/>
        <v>56.499999999999993</v>
      </c>
      <c r="L35" s="12" t="s">
        <v>115</v>
      </c>
    </row>
    <row r="36" spans="1:12" x14ac:dyDescent="0.2">
      <c r="A36" s="18">
        <v>24</v>
      </c>
      <c r="B36" s="19" t="s">
        <v>116</v>
      </c>
      <c r="C36" s="20">
        <v>4</v>
      </c>
      <c r="D36" s="21" t="s">
        <v>117</v>
      </c>
      <c r="E36" s="18" t="s">
        <v>118</v>
      </c>
      <c r="F36" s="21" t="s">
        <v>119</v>
      </c>
      <c r="G36" s="21" t="s">
        <v>120</v>
      </c>
      <c r="H36" s="18" t="s">
        <v>32</v>
      </c>
      <c r="I36" s="22">
        <v>6.0400000000000002E-2</v>
      </c>
      <c r="J36" s="23">
        <f t="shared" si="0"/>
        <v>0.24160000000000001</v>
      </c>
      <c r="K36" s="24">
        <f t="shared" si="1"/>
        <v>24.16</v>
      </c>
      <c r="L36" s="19"/>
    </row>
    <row r="37" spans="1:12" x14ac:dyDescent="0.2">
      <c r="A37" s="11">
        <v>25</v>
      </c>
      <c r="B37" s="12" t="s">
        <v>121</v>
      </c>
      <c r="C37" s="13">
        <v>1</v>
      </c>
      <c r="D37" s="14" t="s">
        <v>122</v>
      </c>
      <c r="E37" s="11" t="s">
        <v>29</v>
      </c>
      <c r="F37" s="14" t="s">
        <v>123</v>
      </c>
      <c r="G37" s="14" t="s">
        <v>113</v>
      </c>
      <c r="H37" s="11" t="s">
        <v>32</v>
      </c>
      <c r="I37" s="15">
        <v>0.12820000000000001</v>
      </c>
      <c r="J37" s="16">
        <f t="shared" si="0"/>
        <v>0.12820000000000001</v>
      </c>
      <c r="K37" s="17">
        <f t="shared" si="1"/>
        <v>12.82</v>
      </c>
      <c r="L37" s="12" t="s">
        <v>124</v>
      </c>
    </row>
    <row r="38" spans="1:12" x14ac:dyDescent="0.2">
      <c r="A38" s="18">
        <v>26</v>
      </c>
      <c r="B38" s="19" t="s">
        <v>125</v>
      </c>
      <c r="C38" s="20">
        <v>1</v>
      </c>
      <c r="D38" s="21" t="s">
        <v>126</v>
      </c>
      <c r="E38" s="18" t="s">
        <v>29</v>
      </c>
      <c r="F38" s="21" t="s">
        <v>127</v>
      </c>
      <c r="G38" s="21" t="s">
        <v>128</v>
      </c>
      <c r="H38" s="18" t="s">
        <v>32</v>
      </c>
      <c r="I38" s="22">
        <v>8.0000000000000002E-3</v>
      </c>
      <c r="J38" s="23">
        <f t="shared" si="0"/>
        <v>8.0000000000000002E-3</v>
      </c>
      <c r="K38" s="24">
        <f t="shared" si="1"/>
        <v>0.8</v>
      </c>
      <c r="L38" s="19" t="s">
        <v>129</v>
      </c>
    </row>
    <row r="39" spans="1:12" x14ac:dyDescent="0.2">
      <c r="A39" s="11">
        <v>27</v>
      </c>
      <c r="B39" s="12" t="s">
        <v>130</v>
      </c>
      <c r="C39" s="13">
        <v>1</v>
      </c>
      <c r="D39" s="14" t="s">
        <v>131</v>
      </c>
      <c r="E39" s="11" t="s">
        <v>29</v>
      </c>
      <c r="F39" s="14" t="s">
        <v>132</v>
      </c>
      <c r="G39" s="14" t="s">
        <v>133</v>
      </c>
      <c r="H39" s="11" t="s">
        <v>32</v>
      </c>
      <c r="I39" s="15">
        <v>4.3099999999999999E-2</v>
      </c>
      <c r="J39" s="16">
        <f t="shared" si="0"/>
        <v>4.3099999999999999E-2</v>
      </c>
      <c r="K39" s="17">
        <f t="shared" si="1"/>
        <v>4.3099999999999996</v>
      </c>
      <c r="L39" s="12" t="s">
        <v>129</v>
      </c>
    </row>
    <row r="40" spans="1:12" x14ac:dyDescent="0.2">
      <c r="A40" s="18">
        <v>28</v>
      </c>
      <c r="B40" s="19" t="s">
        <v>134</v>
      </c>
      <c r="C40" s="20">
        <v>1</v>
      </c>
      <c r="D40" s="21" t="s">
        <v>135</v>
      </c>
      <c r="E40" s="18" t="s">
        <v>29</v>
      </c>
      <c r="F40" s="21" t="s">
        <v>136</v>
      </c>
      <c r="G40" s="21" t="s">
        <v>133</v>
      </c>
      <c r="H40" s="18" t="s">
        <v>32</v>
      </c>
      <c r="I40" s="22">
        <v>3.85E-2</v>
      </c>
      <c r="J40" s="23">
        <f t="shared" si="0"/>
        <v>3.85E-2</v>
      </c>
      <c r="K40" s="24">
        <f t="shared" si="1"/>
        <v>3.85</v>
      </c>
      <c r="L40" s="19" t="s">
        <v>129</v>
      </c>
    </row>
    <row r="41" spans="1:12" x14ac:dyDescent="0.2">
      <c r="A41" s="11">
        <v>29</v>
      </c>
      <c r="B41" s="12" t="s">
        <v>137</v>
      </c>
      <c r="C41" s="13">
        <v>2</v>
      </c>
      <c r="D41" s="14" t="s">
        <v>138</v>
      </c>
      <c r="E41" s="11" t="s">
        <v>41</v>
      </c>
      <c r="F41" s="14" t="s">
        <v>139</v>
      </c>
      <c r="G41" s="14" t="s">
        <v>91</v>
      </c>
      <c r="H41" s="11" t="s">
        <v>32</v>
      </c>
      <c r="I41" s="15">
        <v>1.9099999999999999E-2</v>
      </c>
      <c r="J41" s="16">
        <f t="shared" si="0"/>
        <v>3.8199999999999998E-2</v>
      </c>
      <c r="K41" s="17">
        <f t="shared" si="1"/>
        <v>3.82</v>
      </c>
      <c r="L41" s="12"/>
    </row>
    <row r="42" spans="1:12" x14ac:dyDescent="0.2">
      <c r="A42" s="18">
        <v>30</v>
      </c>
      <c r="B42" s="19" t="s">
        <v>140</v>
      </c>
      <c r="C42" s="20">
        <v>1</v>
      </c>
      <c r="D42" s="21" t="s">
        <v>141</v>
      </c>
      <c r="E42" s="18" t="s">
        <v>142</v>
      </c>
      <c r="F42" s="21" t="s">
        <v>142</v>
      </c>
      <c r="G42" s="21" t="s">
        <v>143</v>
      </c>
      <c r="H42" s="18" t="s">
        <v>32</v>
      </c>
      <c r="I42" s="22">
        <v>0.3019</v>
      </c>
      <c r="J42" s="23">
        <f t="shared" si="0"/>
        <v>0.3019</v>
      </c>
      <c r="K42" s="24">
        <f t="shared" si="1"/>
        <v>30.19</v>
      </c>
      <c r="L42" s="19"/>
    </row>
    <row r="43" spans="1:12" x14ac:dyDescent="0.2">
      <c r="A43" s="11">
        <v>31</v>
      </c>
      <c r="B43" s="12" t="s">
        <v>144</v>
      </c>
      <c r="C43" s="13">
        <v>1</v>
      </c>
      <c r="D43" s="14" t="s">
        <v>145</v>
      </c>
      <c r="E43" s="11" t="s">
        <v>146</v>
      </c>
      <c r="F43" s="14" t="s">
        <v>147</v>
      </c>
      <c r="G43" s="14" t="s">
        <v>148</v>
      </c>
      <c r="H43" s="11" t="s">
        <v>114</v>
      </c>
      <c r="I43" s="15">
        <v>1.58</v>
      </c>
      <c r="J43" s="16">
        <f t="shared" si="0"/>
        <v>1.58</v>
      </c>
      <c r="K43" s="17">
        <f t="shared" si="1"/>
        <v>158</v>
      </c>
      <c r="L43" s="12"/>
    </row>
    <row r="44" spans="1:12" x14ac:dyDescent="0.2">
      <c r="A44" s="18">
        <v>32</v>
      </c>
      <c r="B44" s="19" t="s">
        <v>149</v>
      </c>
      <c r="C44" s="20">
        <v>1</v>
      </c>
      <c r="D44" s="21" t="s">
        <v>150</v>
      </c>
      <c r="E44" s="18" t="s">
        <v>151</v>
      </c>
      <c r="F44" s="21" t="s">
        <v>152</v>
      </c>
      <c r="G44" s="21" t="s">
        <v>153</v>
      </c>
      <c r="H44" s="18" t="s">
        <v>53</v>
      </c>
      <c r="I44" s="22">
        <v>1.58</v>
      </c>
      <c r="J44" s="23">
        <f t="shared" si="0"/>
        <v>1.58</v>
      </c>
      <c r="K44" s="24">
        <f t="shared" si="1"/>
        <v>158</v>
      </c>
      <c r="L44" s="19" t="s">
        <v>154</v>
      </c>
    </row>
    <row r="45" spans="1:12" x14ac:dyDescent="0.2">
      <c r="A45" s="11">
        <v>33</v>
      </c>
      <c r="B45" s="12" t="s">
        <v>155</v>
      </c>
      <c r="C45" s="13">
        <v>1</v>
      </c>
      <c r="D45" s="14" t="s">
        <v>156</v>
      </c>
      <c r="E45" s="11" t="s">
        <v>157</v>
      </c>
      <c r="F45" s="14" t="s">
        <v>157</v>
      </c>
      <c r="G45" s="14" t="s">
        <v>143</v>
      </c>
      <c r="H45" s="11" t="s">
        <v>32</v>
      </c>
      <c r="I45" s="15">
        <v>0.2671</v>
      </c>
      <c r="J45" s="16">
        <f t="shared" ref="J45:J76" si="2">C45*I45</f>
        <v>0.2671</v>
      </c>
      <c r="K45" s="17">
        <f t="shared" ref="K45:K76" si="3">J45*100</f>
        <v>26.71</v>
      </c>
      <c r="L45" s="12"/>
    </row>
    <row r="46" spans="1:12" x14ac:dyDescent="0.2">
      <c r="A46" s="18">
        <v>34</v>
      </c>
      <c r="B46" s="19" t="s">
        <v>158</v>
      </c>
      <c r="C46" s="20">
        <v>1</v>
      </c>
      <c r="D46" s="21" t="s">
        <v>159</v>
      </c>
      <c r="E46" s="18" t="s">
        <v>160</v>
      </c>
      <c r="F46" s="21" t="s">
        <v>160</v>
      </c>
      <c r="G46" s="21" t="s">
        <v>143</v>
      </c>
      <c r="H46" s="18" t="s">
        <v>32</v>
      </c>
      <c r="I46" s="22">
        <v>0.1857</v>
      </c>
      <c r="J46" s="23">
        <f t="shared" si="2"/>
        <v>0.1857</v>
      </c>
      <c r="K46" s="24">
        <f t="shared" si="3"/>
        <v>18.57</v>
      </c>
      <c r="L46" s="19"/>
    </row>
    <row r="47" spans="1:12" x14ac:dyDescent="0.2">
      <c r="A47" s="11">
        <v>35</v>
      </c>
      <c r="B47" s="12" t="s">
        <v>161</v>
      </c>
      <c r="C47" s="13">
        <v>1</v>
      </c>
      <c r="D47" s="14" t="s">
        <v>162</v>
      </c>
      <c r="E47" s="11" t="s">
        <v>163</v>
      </c>
      <c r="F47" s="14" t="s">
        <v>164</v>
      </c>
      <c r="G47" s="14" t="s">
        <v>165</v>
      </c>
      <c r="H47" s="11" t="s">
        <v>32</v>
      </c>
      <c r="I47" s="15">
        <v>0.89770000000000005</v>
      </c>
      <c r="J47" s="16">
        <f t="shared" si="2"/>
        <v>0.89770000000000005</v>
      </c>
      <c r="K47" s="17">
        <f t="shared" si="3"/>
        <v>89.77000000000001</v>
      </c>
      <c r="L47" s="12"/>
    </row>
    <row r="48" spans="1:12" x14ac:dyDescent="0.2">
      <c r="A48" s="18">
        <v>36</v>
      </c>
      <c r="B48" s="19" t="s">
        <v>166</v>
      </c>
      <c r="C48" s="20">
        <v>1</v>
      </c>
      <c r="D48" s="21" t="s">
        <v>167</v>
      </c>
      <c r="E48" s="18" t="s">
        <v>168</v>
      </c>
      <c r="F48" s="21" t="s">
        <v>168</v>
      </c>
      <c r="G48" s="21" t="s">
        <v>143</v>
      </c>
      <c r="H48" s="18" t="s">
        <v>114</v>
      </c>
      <c r="I48" s="22">
        <v>0.33900000000000002</v>
      </c>
      <c r="J48" s="23">
        <f t="shared" si="2"/>
        <v>0.33900000000000002</v>
      </c>
      <c r="K48" s="24">
        <f t="shared" si="3"/>
        <v>33.900000000000006</v>
      </c>
      <c r="L48" s="19"/>
    </row>
    <row r="49" spans="1:12" x14ac:dyDescent="0.2">
      <c r="A49" s="11">
        <v>37</v>
      </c>
      <c r="B49" s="12" t="s">
        <v>169</v>
      </c>
      <c r="C49" s="13">
        <v>1</v>
      </c>
      <c r="D49" s="14" t="s">
        <v>170</v>
      </c>
      <c r="E49" s="11" t="s">
        <v>29</v>
      </c>
      <c r="F49" s="14" t="s">
        <v>171</v>
      </c>
      <c r="G49" s="14" t="s">
        <v>91</v>
      </c>
      <c r="H49" s="11" t="s">
        <v>114</v>
      </c>
      <c r="I49" s="15">
        <v>7.5999999999999998E-2</v>
      </c>
      <c r="J49" s="16">
        <f t="shared" si="2"/>
        <v>7.5999999999999998E-2</v>
      </c>
      <c r="K49" s="17">
        <f t="shared" si="3"/>
        <v>7.6</v>
      </c>
      <c r="L49" s="12" t="s">
        <v>172</v>
      </c>
    </row>
    <row r="50" spans="1:12" x14ac:dyDescent="0.2">
      <c r="A50" s="18">
        <v>38</v>
      </c>
      <c r="B50" s="19" t="s">
        <v>173</v>
      </c>
      <c r="C50" s="20">
        <v>1</v>
      </c>
      <c r="D50" s="21" t="s">
        <v>174</v>
      </c>
      <c r="E50" s="18" t="s">
        <v>29</v>
      </c>
      <c r="F50" s="21" t="s">
        <v>175</v>
      </c>
      <c r="G50" s="21" t="s">
        <v>91</v>
      </c>
      <c r="H50" s="18" t="s">
        <v>114</v>
      </c>
      <c r="I50" s="22">
        <v>7.4999999999999997E-2</v>
      </c>
      <c r="J50" s="23">
        <f t="shared" si="2"/>
        <v>7.4999999999999997E-2</v>
      </c>
      <c r="K50" s="24">
        <f t="shared" si="3"/>
        <v>7.5</v>
      </c>
      <c r="L50" s="19" t="s">
        <v>172</v>
      </c>
    </row>
    <row r="51" spans="1:12" x14ac:dyDescent="0.2">
      <c r="A51" s="11">
        <v>39</v>
      </c>
      <c r="B51" s="12" t="s">
        <v>176</v>
      </c>
      <c r="C51" s="13">
        <v>1</v>
      </c>
      <c r="D51" s="14" t="s">
        <v>177</v>
      </c>
      <c r="E51" s="11" t="s">
        <v>29</v>
      </c>
      <c r="F51" s="14" t="s">
        <v>178</v>
      </c>
      <c r="G51" s="14" t="s">
        <v>91</v>
      </c>
      <c r="H51" s="11" t="s">
        <v>114</v>
      </c>
      <c r="I51" s="15">
        <v>7.5999999999999998E-2</v>
      </c>
      <c r="J51" s="16">
        <f t="shared" si="2"/>
        <v>7.5999999999999998E-2</v>
      </c>
      <c r="K51" s="17">
        <f t="shared" si="3"/>
        <v>7.6</v>
      </c>
      <c r="L51" s="12" t="s">
        <v>172</v>
      </c>
    </row>
    <row r="52" spans="1:12" x14ac:dyDescent="0.2">
      <c r="A52" s="18">
        <v>40</v>
      </c>
      <c r="B52" s="19" t="s">
        <v>179</v>
      </c>
      <c r="C52" s="20">
        <v>1</v>
      </c>
      <c r="D52" s="21" t="s">
        <v>180</v>
      </c>
      <c r="E52" s="18" t="s">
        <v>29</v>
      </c>
      <c r="F52" s="21" t="s">
        <v>181</v>
      </c>
      <c r="G52" s="21" t="s">
        <v>91</v>
      </c>
      <c r="H52" s="18" t="s">
        <v>114</v>
      </c>
      <c r="I52" s="22">
        <v>3.1E-2</v>
      </c>
      <c r="J52" s="23">
        <f t="shared" si="2"/>
        <v>3.1E-2</v>
      </c>
      <c r="K52" s="24">
        <f t="shared" si="3"/>
        <v>3.1</v>
      </c>
      <c r="L52" s="19" t="s">
        <v>182</v>
      </c>
    </row>
    <row r="53" spans="1:12" x14ac:dyDescent="0.2">
      <c r="A53" s="11">
        <v>41</v>
      </c>
      <c r="B53" s="12" t="s">
        <v>183</v>
      </c>
      <c r="C53" s="13">
        <v>2</v>
      </c>
      <c r="D53" s="14" t="s">
        <v>184</v>
      </c>
      <c r="E53" s="11" t="s">
        <v>185</v>
      </c>
      <c r="F53" s="14" t="s">
        <v>186</v>
      </c>
      <c r="G53" s="14" t="s">
        <v>187</v>
      </c>
      <c r="H53" s="11" t="s">
        <v>114</v>
      </c>
      <c r="I53" s="15">
        <v>0.16800000000000001</v>
      </c>
      <c r="J53" s="16">
        <f t="shared" si="2"/>
        <v>0.33600000000000002</v>
      </c>
      <c r="K53" s="17">
        <f t="shared" si="3"/>
        <v>33.6</v>
      </c>
      <c r="L53" s="12"/>
    </row>
    <row r="54" spans="1:12" x14ac:dyDescent="0.2">
      <c r="A54" s="18">
        <v>42</v>
      </c>
      <c r="B54" s="19" t="s">
        <v>188</v>
      </c>
      <c r="C54" s="20">
        <v>1</v>
      </c>
      <c r="D54" s="21" t="s">
        <v>189</v>
      </c>
      <c r="E54" s="18" t="s">
        <v>41</v>
      </c>
      <c r="F54" s="21" t="s">
        <v>190</v>
      </c>
      <c r="G54" s="21" t="s">
        <v>191</v>
      </c>
      <c r="H54" s="18" t="s">
        <v>192</v>
      </c>
      <c r="I54" s="22">
        <v>0.11799999999999999</v>
      </c>
      <c r="J54" s="23">
        <f t="shared" si="2"/>
        <v>0.11799999999999999</v>
      </c>
      <c r="K54" s="24">
        <f t="shared" si="3"/>
        <v>11.799999999999999</v>
      </c>
      <c r="L54" s="19" t="s">
        <v>193</v>
      </c>
    </row>
    <row r="55" spans="1:12" x14ac:dyDescent="0.2">
      <c r="A55" s="11">
        <v>43</v>
      </c>
      <c r="B55" s="12" t="s">
        <v>194</v>
      </c>
      <c r="C55" s="13">
        <v>1</v>
      </c>
      <c r="D55" s="14" t="s">
        <v>195</v>
      </c>
      <c r="E55" s="11" t="s">
        <v>196</v>
      </c>
      <c r="F55" s="14" t="s">
        <v>197</v>
      </c>
      <c r="G55" s="14" t="s">
        <v>198</v>
      </c>
      <c r="H55" s="11" t="s">
        <v>32</v>
      </c>
      <c r="I55" s="15">
        <v>3.3056000000000001</v>
      </c>
      <c r="J55" s="16">
        <f t="shared" si="2"/>
        <v>3.3056000000000001</v>
      </c>
      <c r="K55" s="17">
        <f t="shared" si="3"/>
        <v>330.56</v>
      </c>
      <c r="L55" s="12"/>
    </row>
    <row r="56" spans="1:12" x14ac:dyDescent="0.2">
      <c r="A56" s="18">
        <v>44</v>
      </c>
      <c r="B56" s="19" t="s">
        <v>199</v>
      </c>
      <c r="C56" s="20">
        <v>5</v>
      </c>
      <c r="D56" s="21" t="s">
        <v>200</v>
      </c>
      <c r="E56" s="18" t="s">
        <v>201</v>
      </c>
      <c r="F56" s="21" t="s">
        <v>202</v>
      </c>
      <c r="G56" s="21" t="s">
        <v>203</v>
      </c>
      <c r="H56" s="18" t="s">
        <v>114</v>
      </c>
      <c r="I56" s="22">
        <v>0.29199999999999998</v>
      </c>
      <c r="J56" s="23">
        <f t="shared" si="2"/>
        <v>1.46</v>
      </c>
      <c r="K56" s="24">
        <f t="shared" si="3"/>
        <v>146</v>
      </c>
      <c r="L56" s="19"/>
    </row>
    <row r="57" spans="1:12" x14ac:dyDescent="0.2">
      <c r="A57" s="11">
        <v>45</v>
      </c>
      <c r="B57" s="12" t="s">
        <v>204</v>
      </c>
      <c r="C57" s="13">
        <v>4</v>
      </c>
      <c r="D57" s="14" t="s">
        <v>205</v>
      </c>
      <c r="E57" s="11" t="s">
        <v>206</v>
      </c>
      <c r="F57" s="14" t="s">
        <v>207</v>
      </c>
      <c r="G57" s="14" t="s">
        <v>208</v>
      </c>
      <c r="H57" s="11" t="s">
        <v>114</v>
      </c>
      <c r="I57" s="15">
        <v>9.1999999999999998E-2</v>
      </c>
      <c r="J57" s="16">
        <f t="shared" si="2"/>
        <v>0.36799999999999999</v>
      </c>
      <c r="K57" s="17">
        <f t="shared" si="3"/>
        <v>36.799999999999997</v>
      </c>
      <c r="L57" s="12"/>
    </row>
    <row r="58" spans="1:12" x14ac:dyDescent="0.2">
      <c r="A58" s="18">
        <v>46</v>
      </c>
      <c r="B58" s="19" t="s">
        <v>209</v>
      </c>
      <c r="C58" s="20">
        <v>4</v>
      </c>
      <c r="D58" s="21" t="s">
        <v>210</v>
      </c>
      <c r="E58" s="18" t="s">
        <v>29</v>
      </c>
      <c r="F58" s="21" t="s">
        <v>211</v>
      </c>
      <c r="G58" s="21" t="s">
        <v>73</v>
      </c>
      <c r="H58" s="18" t="s">
        <v>212</v>
      </c>
      <c r="I58" s="22">
        <v>9.7000000000000003E-3</v>
      </c>
      <c r="J58" s="23">
        <f t="shared" si="2"/>
        <v>3.8800000000000001E-2</v>
      </c>
      <c r="K58" s="24">
        <f t="shared" si="3"/>
        <v>3.88</v>
      </c>
      <c r="L58" s="19"/>
    </row>
    <row r="59" spans="1:12" x14ac:dyDescent="0.2">
      <c r="A59" s="11">
        <v>47</v>
      </c>
      <c r="B59" s="12" t="s">
        <v>213</v>
      </c>
      <c r="C59" s="13">
        <v>1</v>
      </c>
      <c r="D59" s="14" t="s">
        <v>214</v>
      </c>
      <c r="E59" s="11" t="s">
        <v>29</v>
      </c>
      <c r="F59" s="14" t="s">
        <v>215</v>
      </c>
      <c r="G59" s="14" t="s">
        <v>73</v>
      </c>
      <c r="H59" s="11" t="s">
        <v>212</v>
      </c>
      <c r="I59" s="15">
        <v>9.7000000000000003E-3</v>
      </c>
      <c r="J59" s="16">
        <f t="shared" si="2"/>
        <v>9.7000000000000003E-3</v>
      </c>
      <c r="K59" s="17">
        <f t="shared" si="3"/>
        <v>0.97</v>
      </c>
      <c r="L59" s="12"/>
    </row>
    <row r="60" spans="1:12" ht="24" x14ac:dyDescent="0.2">
      <c r="A60" s="18">
        <v>48</v>
      </c>
      <c r="B60" s="19" t="s">
        <v>216</v>
      </c>
      <c r="C60" s="20">
        <v>19</v>
      </c>
      <c r="D60" s="21" t="s">
        <v>217</v>
      </c>
      <c r="E60" s="18" t="s">
        <v>29</v>
      </c>
      <c r="F60" s="21" t="s">
        <v>218</v>
      </c>
      <c r="G60" s="21" t="s">
        <v>73</v>
      </c>
      <c r="H60" s="18" t="s">
        <v>212</v>
      </c>
      <c r="I60" s="22">
        <v>9.7000000000000003E-3</v>
      </c>
      <c r="J60" s="23">
        <f t="shared" si="2"/>
        <v>0.18430000000000002</v>
      </c>
      <c r="K60" s="24">
        <f t="shared" si="3"/>
        <v>18.430000000000003</v>
      </c>
      <c r="L60" s="19"/>
    </row>
    <row r="61" spans="1:12" x14ac:dyDescent="0.2">
      <c r="A61" s="11">
        <v>49</v>
      </c>
      <c r="B61" s="12" t="s">
        <v>219</v>
      </c>
      <c r="C61" s="13">
        <v>4</v>
      </c>
      <c r="D61" s="14" t="s">
        <v>220</v>
      </c>
      <c r="E61" s="11" t="s">
        <v>29</v>
      </c>
      <c r="F61" s="14" t="s">
        <v>221</v>
      </c>
      <c r="G61" s="14" t="s">
        <v>73</v>
      </c>
      <c r="H61" s="11" t="s">
        <v>212</v>
      </c>
      <c r="I61" s="15">
        <v>9.7000000000000003E-3</v>
      </c>
      <c r="J61" s="16">
        <f t="shared" si="2"/>
        <v>3.8800000000000001E-2</v>
      </c>
      <c r="K61" s="17">
        <f t="shared" si="3"/>
        <v>3.88</v>
      </c>
      <c r="L61" s="12"/>
    </row>
    <row r="62" spans="1:12" x14ac:dyDescent="0.2">
      <c r="A62" s="18">
        <v>50</v>
      </c>
      <c r="B62" s="19" t="s">
        <v>222</v>
      </c>
      <c r="C62" s="20">
        <v>4</v>
      </c>
      <c r="D62" s="21" t="s">
        <v>223</v>
      </c>
      <c r="E62" s="18" t="s">
        <v>29</v>
      </c>
      <c r="F62" s="21" t="s">
        <v>224</v>
      </c>
      <c r="G62" s="21" t="s">
        <v>73</v>
      </c>
      <c r="H62" s="18" t="s">
        <v>212</v>
      </c>
      <c r="I62" s="22">
        <v>9.7000000000000003E-3</v>
      </c>
      <c r="J62" s="23">
        <f t="shared" si="2"/>
        <v>3.8800000000000001E-2</v>
      </c>
      <c r="K62" s="24">
        <f t="shared" si="3"/>
        <v>3.88</v>
      </c>
      <c r="L62" s="19" t="s">
        <v>225</v>
      </c>
    </row>
    <row r="63" spans="1:12" x14ac:dyDescent="0.2">
      <c r="A63" s="11">
        <v>51</v>
      </c>
      <c r="B63" s="12" t="s">
        <v>226</v>
      </c>
      <c r="C63" s="13">
        <v>9</v>
      </c>
      <c r="D63" s="14" t="s">
        <v>227</v>
      </c>
      <c r="E63" s="11" t="s">
        <v>29</v>
      </c>
      <c r="F63" s="14" t="s">
        <v>211</v>
      </c>
      <c r="G63" s="14" t="s">
        <v>73</v>
      </c>
      <c r="H63" s="11" t="s">
        <v>212</v>
      </c>
      <c r="I63" s="15">
        <v>9.7000000000000003E-3</v>
      </c>
      <c r="J63" s="16">
        <f t="shared" si="2"/>
        <v>8.7300000000000003E-2</v>
      </c>
      <c r="K63" s="17">
        <f t="shared" si="3"/>
        <v>8.73</v>
      </c>
      <c r="L63" s="12"/>
    </row>
    <row r="64" spans="1:12" x14ac:dyDescent="0.2">
      <c r="A64" s="18">
        <v>52</v>
      </c>
      <c r="B64" s="19" t="s">
        <v>228</v>
      </c>
      <c r="C64" s="20">
        <v>1</v>
      </c>
      <c r="D64" s="21" t="s">
        <v>229</v>
      </c>
      <c r="E64" s="18" t="s">
        <v>41</v>
      </c>
      <c r="F64" s="21" t="s">
        <v>230</v>
      </c>
      <c r="G64" s="21" t="s">
        <v>231</v>
      </c>
      <c r="H64" s="18" t="s">
        <v>232</v>
      </c>
      <c r="I64" s="22">
        <v>1.286</v>
      </c>
      <c r="J64" s="23">
        <f t="shared" si="2"/>
        <v>1.286</v>
      </c>
      <c r="K64" s="24">
        <f t="shared" si="3"/>
        <v>128.6</v>
      </c>
      <c r="L64" s="19" t="s">
        <v>233</v>
      </c>
    </row>
    <row r="65" spans="1:12" x14ac:dyDescent="0.2">
      <c r="A65" s="11">
        <v>53</v>
      </c>
      <c r="B65" s="12" t="s">
        <v>234</v>
      </c>
      <c r="C65" s="13">
        <v>4</v>
      </c>
      <c r="D65" s="14" t="s">
        <v>235</v>
      </c>
      <c r="E65" s="11" t="s">
        <v>29</v>
      </c>
      <c r="F65" s="14" t="s">
        <v>236</v>
      </c>
      <c r="G65" s="14" t="s">
        <v>73</v>
      </c>
      <c r="H65" s="11" t="s">
        <v>212</v>
      </c>
      <c r="I65" s="15">
        <v>9.4999999999999998E-3</v>
      </c>
      <c r="J65" s="16">
        <f t="shared" si="2"/>
        <v>3.7999999999999999E-2</v>
      </c>
      <c r="K65" s="17">
        <f t="shared" si="3"/>
        <v>3.8</v>
      </c>
      <c r="L65" s="12"/>
    </row>
    <row r="66" spans="1:12" x14ac:dyDescent="0.2">
      <c r="A66" s="18">
        <v>54</v>
      </c>
      <c r="B66" s="19" t="s">
        <v>237</v>
      </c>
      <c r="C66" s="20">
        <v>2</v>
      </c>
      <c r="D66" s="21" t="s">
        <v>238</v>
      </c>
      <c r="E66" s="18" t="s">
        <v>29</v>
      </c>
      <c r="F66" s="21" t="s">
        <v>218</v>
      </c>
      <c r="G66" s="21" t="s">
        <v>73</v>
      </c>
      <c r="H66" s="18" t="s">
        <v>212</v>
      </c>
      <c r="I66" s="22">
        <v>9.7000000000000003E-3</v>
      </c>
      <c r="J66" s="23">
        <f t="shared" si="2"/>
        <v>1.9400000000000001E-2</v>
      </c>
      <c r="K66" s="24">
        <f t="shared" si="3"/>
        <v>1.94</v>
      </c>
      <c r="L66" s="19"/>
    </row>
    <row r="67" spans="1:12" x14ac:dyDescent="0.2">
      <c r="A67" s="11">
        <v>55</v>
      </c>
      <c r="B67" s="12" t="s">
        <v>239</v>
      </c>
      <c r="C67" s="13">
        <v>2</v>
      </c>
      <c r="D67" s="14" t="s">
        <v>240</v>
      </c>
      <c r="E67" s="11" t="s">
        <v>29</v>
      </c>
      <c r="F67" s="14" t="s">
        <v>241</v>
      </c>
      <c r="G67" s="14" t="s">
        <v>73</v>
      </c>
      <c r="H67" s="11" t="s">
        <v>212</v>
      </c>
      <c r="I67" s="15">
        <v>9.7000000000000003E-3</v>
      </c>
      <c r="J67" s="16">
        <f t="shared" si="2"/>
        <v>1.9400000000000001E-2</v>
      </c>
      <c r="K67" s="17">
        <f t="shared" si="3"/>
        <v>1.94</v>
      </c>
      <c r="L67" s="12"/>
    </row>
    <row r="68" spans="1:12" x14ac:dyDescent="0.2">
      <c r="A68" s="18">
        <v>56</v>
      </c>
      <c r="B68" s="19" t="s">
        <v>242</v>
      </c>
      <c r="C68" s="20">
        <v>11</v>
      </c>
      <c r="D68" s="21" t="s">
        <v>243</v>
      </c>
      <c r="E68" s="18" t="s">
        <v>29</v>
      </c>
      <c r="F68" s="21" t="s">
        <v>244</v>
      </c>
      <c r="G68" s="21" t="s">
        <v>73</v>
      </c>
      <c r="H68" s="18" t="s">
        <v>212</v>
      </c>
      <c r="I68" s="22">
        <v>9.7000000000000003E-3</v>
      </c>
      <c r="J68" s="23">
        <f t="shared" si="2"/>
        <v>0.1067</v>
      </c>
      <c r="K68" s="24">
        <f t="shared" si="3"/>
        <v>10.67</v>
      </c>
      <c r="L68" s="19"/>
    </row>
    <row r="69" spans="1:12" x14ac:dyDescent="0.2">
      <c r="A69" s="11">
        <v>57</v>
      </c>
      <c r="B69" s="12" t="s">
        <v>245</v>
      </c>
      <c r="C69" s="13">
        <v>1</v>
      </c>
      <c r="D69" s="14" t="s">
        <v>246</v>
      </c>
      <c r="E69" s="11" t="s">
        <v>29</v>
      </c>
      <c r="F69" s="14" t="s">
        <v>247</v>
      </c>
      <c r="G69" s="14" t="s">
        <v>73</v>
      </c>
      <c r="H69" s="11" t="s">
        <v>212</v>
      </c>
      <c r="I69" s="15">
        <v>9.7000000000000003E-3</v>
      </c>
      <c r="J69" s="16">
        <f t="shared" si="2"/>
        <v>9.7000000000000003E-3</v>
      </c>
      <c r="K69" s="17">
        <f t="shared" si="3"/>
        <v>0.97</v>
      </c>
      <c r="L69" s="12"/>
    </row>
    <row r="70" spans="1:12" x14ac:dyDescent="0.2">
      <c r="A70" s="18">
        <v>58</v>
      </c>
      <c r="B70" s="19" t="s">
        <v>248</v>
      </c>
      <c r="C70" s="20">
        <v>1</v>
      </c>
      <c r="D70" s="21" t="s">
        <v>249</v>
      </c>
      <c r="E70" s="18" t="s">
        <v>29</v>
      </c>
      <c r="F70" s="21" t="s">
        <v>250</v>
      </c>
      <c r="G70" s="21" t="s">
        <v>73</v>
      </c>
      <c r="H70" s="18" t="s">
        <v>212</v>
      </c>
      <c r="I70" s="22">
        <v>9.7000000000000003E-3</v>
      </c>
      <c r="J70" s="23">
        <f t="shared" si="2"/>
        <v>9.7000000000000003E-3</v>
      </c>
      <c r="K70" s="24">
        <f t="shared" si="3"/>
        <v>0.97</v>
      </c>
      <c r="L70" s="19"/>
    </row>
    <row r="71" spans="1:12" x14ac:dyDescent="0.2">
      <c r="A71" s="11">
        <v>59</v>
      </c>
      <c r="B71" s="12" t="s">
        <v>251</v>
      </c>
      <c r="C71" s="13">
        <v>1</v>
      </c>
      <c r="D71" s="14" t="s">
        <v>252</v>
      </c>
      <c r="E71" s="11" t="s">
        <v>29</v>
      </c>
      <c r="F71" s="14" t="s">
        <v>253</v>
      </c>
      <c r="G71" s="14" t="s">
        <v>73</v>
      </c>
      <c r="H71" s="11" t="s">
        <v>212</v>
      </c>
      <c r="I71" s="15">
        <v>9.7000000000000003E-3</v>
      </c>
      <c r="J71" s="16">
        <f t="shared" si="2"/>
        <v>9.7000000000000003E-3</v>
      </c>
      <c r="K71" s="17">
        <f t="shared" si="3"/>
        <v>0.97</v>
      </c>
      <c r="L71" s="12"/>
    </row>
    <row r="72" spans="1:12" x14ac:dyDescent="0.2">
      <c r="A72" s="18">
        <v>60</v>
      </c>
      <c r="B72" s="19" t="s">
        <v>254</v>
      </c>
      <c r="C72" s="20">
        <v>1</v>
      </c>
      <c r="D72" s="21" t="s">
        <v>255</v>
      </c>
      <c r="E72" s="18" t="s">
        <v>29</v>
      </c>
      <c r="F72" s="21" t="s">
        <v>256</v>
      </c>
      <c r="G72" s="21" t="s">
        <v>73</v>
      </c>
      <c r="H72" s="18" t="s">
        <v>212</v>
      </c>
      <c r="I72" s="22">
        <v>9.7000000000000003E-3</v>
      </c>
      <c r="J72" s="23">
        <f t="shared" si="2"/>
        <v>9.7000000000000003E-3</v>
      </c>
      <c r="K72" s="24">
        <f t="shared" si="3"/>
        <v>0.97</v>
      </c>
      <c r="L72" s="19"/>
    </row>
    <row r="73" spans="1:12" x14ac:dyDescent="0.2">
      <c r="A73" s="11">
        <v>61</v>
      </c>
      <c r="B73" s="12" t="s">
        <v>257</v>
      </c>
      <c r="C73" s="13">
        <v>1</v>
      </c>
      <c r="D73" s="14" t="s">
        <v>258</v>
      </c>
      <c r="E73" s="11" t="s">
        <v>29</v>
      </c>
      <c r="F73" s="14" t="s">
        <v>221</v>
      </c>
      <c r="G73" s="14" t="s">
        <v>73</v>
      </c>
      <c r="H73" s="11" t="s">
        <v>212</v>
      </c>
      <c r="I73" s="15">
        <v>9.7000000000000003E-3</v>
      </c>
      <c r="J73" s="16">
        <f t="shared" si="2"/>
        <v>9.7000000000000003E-3</v>
      </c>
      <c r="K73" s="17">
        <f t="shared" si="3"/>
        <v>0.97</v>
      </c>
      <c r="L73" s="12"/>
    </row>
    <row r="74" spans="1:12" x14ac:dyDescent="0.2">
      <c r="A74" s="18">
        <v>62</v>
      </c>
      <c r="B74" s="19" t="s">
        <v>259</v>
      </c>
      <c r="C74" s="20">
        <v>1</v>
      </c>
      <c r="D74" s="21" t="s">
        <v>260</v>
      </c>
      <c r="E74" s="18" t="s">
        <v>29</v>
      </c>
      <c r="F74" s="21" t="s">
        <v>261</v>
      </c>
      <c r="G74" s="21" t="s">
        <v>73</v>
      </c>
      <c r="H74" s="18" t="s">
        <v>212</v>
      </c>
      <c r="I74" s="22">
        <v>9.7000000000000003E-3</v>
      </c>
      <c r="J74" s="23">
        <f t="shared" si="2"/>
        <v>9.7000000000000003E-3</v>
      </c>
      <c r="K74" s="24">
        <f t="shared" si="3"/>
        <v>0.97</v>
      </c>
      <c r="L74" s="19"/>
    </row>
    <row r="75" spans="1:12" x14ac:dyDescent="0.2">
      <c r="A75" s="11">
        <v>63</v>
      </c>
      <c r="B75" s="12" t="s">
        <v>262</v>
      </c>
      <c r="C75" s="13">
        <v>1</v>
      </c>
      <c r="D75" s="14" t="s">
        <v>263</v>
      </c>
      <c r="E75" s="11" t="s">
        <v>29</v>
      </c>
      <c r="F75" s="14" t="s">
        <v>264</v>
      </c>
      <c r="G75" s="14" t="s">
        <v>73</v>
      </c>
      <c r="H75" s="11" t="s">
        <v>212</v>
      </c>
      <c r="I75" s="15">
        <v>9.7000000000000003E-3</v>
      </c>
      <c r="J75" s="16">
        <f t="shared" si="2"/>
        <v>9.7000000000000003E-3</v>
      </c>
      <c r="K75" s="17">
        <f t="shared" si="3"/>
        <v>0.97</v>
      </c>
      <c r="L75" s="12"/>
    </row>
    <row r="76" spans="1:12" x14ac:dyDescent="0.2">
      <c r="A76" s="18">
        <v>64</v>
      </c>
      <c r="B76" s="19" t="s">
        <v>265</v>
      </c>
      <c r="C76" s="20">
        <v>1</v>
      </c>
      <c r="D76" s="21" t="s">
        <v>266</v>
      </c>
      <c r="E76" s="18" t="s">
        <v>29</v>
      </c>
      <c r="F76" s="21" t="s">
        <v>267</v>
      </c>
      <c r="G76" s="21" t="s">
        <v>73</v>
      </c>
      <c r="H76" s="18" t="s">
        <v>212</v>
      </c>
      <c r="I76" s="22">
        <v>9.7000000000000003E-3</v>
      </c>
      <c r="J76" s="23">
        <f t="shared" si="2"/>
        <v>9.7000000000000003E-3</v>
      </c>
      <c r="K76" s="24">
        <f t="shared" si="3"/>
        <v>0.97</v>
      </c>
      <c r="L76" s="19"/>
    </row>
    <row r="77" spans="1:12" x14ac:dyDescent="0.2">
      <c r="A77" s="11">
        <v>65</v>
      </c>
      <c r="B77" s="12" t="s">
        <v>268</v>
      </c>
      <c r="C77" s="13">
        <v>1</v>
      </c>
      <c r="D77" s="14" t="s">
        <v>269</v>
      </c>
      <c r="E77" s="11" t="s">
        <v>29</v>
      </c>
      <c r="F77" s="14" t="s">
        <v>270</v>
      </c>
      <c r="G77" s="14" t="s">
        <v>73</v>
      </c>
      <c r="H77" s="11" t="s">
        <v>212</v>
      </c>
      <c r="I77" s="15">
        <v>9.7000000000000003E-3</v>
      </c>
      <c r="J77" s="16">
        <f t="shared" ref="J77:J108" si="4">C77*I77</f>
        <v>9.7000000000000003E-3</v>
      </c>
      <c r="K77" s="17">
        <f t="shared" ref="K77:K108" si="5">J77*100</f>
        <v>0.97</v>
      </c>
      <c r="L77" s="12"/>
    </row>
    <row r="78" spans="1:12" x14ac:dyDescent="0.2">
      <c r="A78" s="18">
        <v>66</v>
      </c>
      <c r="B78" s="19" t="s">
        <v>271</v>
      </c>
      <c r="C78" s="20">
        <v>1</v>
      </c>
      <c r="D78" s="21" t="s">
        <v>272</v>
      </c>
      <c r="E78" s="18" t="s">
        <v>83</v>
      </c>
      <c r="F78" s="21" t="s">
        <v>273</v>
      </c>
      <c r="G78" s="21" t="s">
        <v>274</v>
      </c>
      <c r="H78" s="18" t="s">
        <v>212</v>
      </c>
      <c r="I78" s="22">
        <v>0.27200000000000002</v>
      </c>
      <c r="J78" s="23">
        <f t="shared" si="4"/>
        <v>0.27200000000000002</v>
      </c>
      <c r="K78" s="24">
        <f t="shared" si="5"/>
        <v>27.200000000000003</v>
      </c>
      <c r="L78" s="19"/>
    </row>
    <row r="79" spans="1:12" x14ac:dyDescent="0.2">
      <c r="A79" s="11">
        <v>67</v>
      </c>
      <c r="B79" s="12" t="s">
        <v>275</v>
      </c>
      <c r="C79" s="13">
        <v>1</v>
      </c>
      <c r="D79" s="14" t="s">
        <v>220</v>
      </c>
      <c r="E79" s="11" t="s">
        <v>83</v>
      </c>
      <c r="F79" s="14" t="s">
        <v>276</v>
      </c>
      <c r="G79" s="14" t="s">
        <v>73</v>
      </c>
      <c r="H79" s="11" t="s">
        <v>114</v>
      </c>
      <c r="I79" s="15">
        <v>1.2E-2</v>
      </c>
      <c r="J79" s="16">
        <f t="shared" si="4"/>
        <v>1.2E-2</v>
      </c>
      <c r="K79" s="17">
        <f t="shared" si="5"/>
        <v>1.2</v>
      </c>
      <c r="L79" s="12"/>
    </row>
    <row r="80" spans="1:12" x14ac:dyDescent="0.2">
      <c r="A80" s="18">
        <v>68</v>
      </c>
      <c r="B80" s="19" t="s">
        <v>277</v>
      </c>
      <c r="C80" s="20">
        <v>1</v>
      </c>
      <c r="D80" s="21" t="s">
        <v>278</v>
      </c>
      <c r="E80" s="18" t="s">
        <v>279</v>
      </c>
      <c r="F80" s="21" t="s">
        <v>280</v>
      </c>
      <c r="G80" s="21" t="s">
        <v>148</v>
      </c>
      <c r="H80" s="18" t="s">
        <v>32</v>
      </c>
      <c r="I80" s="22">
        <v>0.6966</v>
      </c>
      <c r="J80" s="23">
        <f t="shared" si="4"/>
        <v>0.6966</v>
      </c>
      <c r="K80" s="24">
        <f t="shared" si="5"/>
        <v>69.66</v>
      </c>
      <c r="L80" s="19"/>
    </row>
    <row r="81" spans="1:12" x14ac:dyDescent="0.2">
      <c r="A81" s="11">
        <v>69</v>
      </c>
      <c r="B81" s="12" t="s">
        <v>281</v>
      </c>
      <c r="C81" s="13">
        <v>2</v>
      </c>
      <c r="D81" s="14" t="s">
        <v>282</v>
      </c>
      <c r="E81" s="11" t="s">
        <v>283</v>
      </c>
      <c r="F81" s="14" t="s">
        <v>284</v>
      </c>
      <c r="G81" s="14" t="s">
        <v>285</v>
      </c>
      <c r="H81" s="11" t="s">
        <v>32</v>
      </c>
      <c r="I81" s="15">
        <v>0.42180000000000001</v>
      </c>
      <c r="J81" s="16">
        <f t="shared" si="4"/>
        <v>0.84360000000000002</v>
      </c>
      <c r="K81" s="17">
        <f t="shared" si="5"/>
        <v>84.36</v>
      </c>
      <c r="L81" s="12"/>
    </row>
    <row r="82" spans="1:12" x14ac:dyDescent="0.2">
      <c r="A82" s="18">
        <v>70</v>
      </c>
      <c r="B82" s="19" t="s">
        <v>286</v>
      </c>
      <c r="C82" s="20">
        <v>1</v>
      </c>
      <c r="D82" s="21" t="s">
        <v>287</v>
      </c>
      <c r="E82" s="18" t="s">
        <v>288</v>
      </c>
      <c r="F82" s="21" t="s">
        <v>289</v>
      </c>
      <c r="G82" s="21" t="s">
        <v>120</v>
      </c>
      <c r="H82" s="18" t="s">
        <v>32</v>
      </c>
      <c r="I82" s="22">
        <v>0.64229999999999998</v>
      </c>
      <c r="J82" s="23">
        <f t="shared" si="4"/>
        <v>0.64229999999999998</v>
      </c>
      <c r="K82" s="24">
        <f t="shared" si="5"/>
        <v>64.23</v>
      </c>
      <c r="L82" s="19"/>
    </row>
    <row r="83" spans="1:12" x14ac:dyDescent="0.2">
      <c r="A83" s="11">
        <v>71</v>
      </c>
      <c r="B83" s="12" t="s">
        <v>290</v>
      </c>
      <c r="C83" s="13">
        <v>1</v>
      </c>
      <c r="D83" s="14" t="s">
        <v>291</v>
      </c>
      <c r="E83" s="11" t="s">
        <v>292</v>
      </c>
      <c r="F83" s="14" t="s">
        <v>293</v>
      </c>
      <c r="G83" s="14" t="s">
        <v>294</v>
      </c>
      <c r="H83" s="11" t="s">
        <v>212</v>
      </c>
      <c r="I83" s="15">
        <v>7.73</v>
      </c>
      <c r="J83" s="16">
        <f t="shared" si="4"/>
        <v>7.73</v>
      </c>
      <c r="K83" s="17">
        <f t="shared" si="5"/>
        <v>773</v>
      </c>
      <c r="L83" s="12" t="s">
        <v>295</v>
      </c>
    </row>
    <row r="84" spans="1:12" x14ac:dyDescent="0.2">
      <c r="A84" s="18">
        <v>72</v>
      </c>
      <c r="B84" s="19" t="s">
        <v>296</v>
      </c>
      <c r="C84" s="20">
        <v>1</v>
      </c>
      <c r="D84" s="21" t="s">
        <v>297</v>
      </c>
      <c r="E84" s="18" t="s">
        <v>298</v>
      </c>
      <c r="F84" s="21" t="s">
        <v>299</v>
      </c>
      <c r="G84" s="21" t="s">
        <v>294</v>
      </c>
      <c r="H84" s="18" t="s">
        <v>32</v>
      </c>
      <c r="I84" s="22">
        <v>2.9584999999999999</v>
      </c>
      <c r="J84" s="23">
        <f t="shared" si="4"/>
        <v>2.9584999999999999</v>
      </c>
      <c r="K84" s="24">
        <f t="shared" si="5"/>
        <v>295.84999999999997</v>
      </c>
      <c r="L84" s="19"/>
    </row>
    <row r="85" spans="1:12" x14ac:dyDescent="0.2">
      <c r="A85" s="11">
        <v>73</v>
      </c>
      <c r="B85" s="12" t="s">
        <v>300</v>
      </c>
      <c r="C85" s="13">
        <v>1</v>
      </c>
      <c r="D85" s="14" t="s">
        <v>301</v>
      </c>
      <c r="E85" s="11" t="s">
        <v>302</v>
      </c>
      <c r="F85" s="14" t="s">
        <v>303</v>
      </c>
      <c r="G85" s="14" t="s">
        <v>304</v>
      </c>
      <c r="H85" s="11" t="s">
        <v>32</v>
      </c>
      <c r="I85" s="15">
        <v>2.5232000000000001</v>
      </c>
      <c r="J85" s="16">
        <f t="shared" si="4"/>
        <v>2.5232000000000001</v>
      </c>
      <c r="K85" s="17">
        <f t="shared" si="5"/>
        <v>252.32000000000002</v>
      </c>
      <c r="L85" s="12"/>
    </row>
    <row r="86" spans="1:12" x14ac:dyDescent="0.2">
      <c r="A86" s="18">
        <v>74</v>
      </c>
      <c r="B86" s="19" t="s">
        <v>305</v>
      </c>
      <c r="C86" s="20">
        <v>4</v>
      </c>
      <c r="D86" s="21" t="s">
        <v>200</v>
      </c>
      <c r="E86" s="18" t="s">
        <v>306</v>
      </c>
      <c r="F86" s="21" t="s">
        <v>307</v>
      </c>
      <c r="G86" s="21" t="s">
        <v>108</v>
      </c>
      <c r="H86" s="18" t="s">
        <v>114</v>
      </c>
      <c r="I86" s="22">
        <v>0.58899999999999997</v>
      </c>
      <c r="J86" s="23">
        <f t="shared" si="4"/>
        <v>2.3559999999999999</v>
      </c>
      <c r="K86" s="24">
        <f t="shared" si="5"/>
        <v>235.6</v>
      </c>
      <c r="L86" s="19"/>
    </row>
    <row r="87" spans="1:12" x14ac:dyDescent="0.2">
      <c r="A87" s="11">
        <v>75</v>
      </c>
      <c r="B87" s="12" t="s">
        <v>308</v>
      </c>
      <c r="C87" s="13">
        <v>1</v>
      </c>
      <c r="D87" s="14" t="s">
        <v>309</v>
      </c>
      <c r="E87" s="11" t="s">
        <v>310</v>
      </c>
      <c r="F87" s="14" t="s">
        <v>311</v>
      </c>
      <c r="G87" s="14" t="s">
        <v>312</v>
      </c>
      <c r="H87" s="11" t="s">
        <v>32</v>
      </c>
      <c r="I87" s="15">
        <v>0.44840000000000002</v>
      </c>
      <c r="J87" s="16">
        <f t="shared" si="4"/>
        <v>0.44840000000000002</v>
      </c>
      <c r="K87" s="17">
        <f t="shared" si="5"/>
        <v>44.84</v>
      </c>
      <c r="L87" s="12"/>
    </row>
    <row r="88" spans="1:12" ht="24" x14ac:dyDescent="0.2">
      <c r="A88" s="18">
        <v>76</v>
      </c>
      <c r="B88" s="19" t="s">
        <v>313</v>
      </c>
      <c r="C88" s="20">
        <v>1</v>
      </c>
      <c r="D88" s="21" t="s">
        <v>314</v>
      </c>
      <c r="E88" s="18" t="s">
        <v>315</v>
      </c>
      <c r="F88" s="21" t="s">
        <v>316</v>
      </c>
      <c r="G88" s="21" t="s">
        <v>317</v>
      </c>
      <c r="H88" s="18" t="s">
        <v>32</v>
      </c>
      <c r="I88" s="22">
        <v>11.611800000000001</v>
      </c>
      <c r="J88" s="23">
        <f t="shared" si="4"/>
        <v>11.611800000000001</v>
      </c>
      <c r="K88" s="24">
        <f t="shared" si="5"/>
        <v>1161.18</v>
      </c>
      <c r="L88" s="19" t="s">
        <v>318</v>
      </c>
    </row>
    <row r="89" spans="1:12" x14ac:dyDescent="0.2">
      <c r="A89" s="11">
        <v>77</v>
      </c>
      <c r="B89" s="12" t="s">
        <v>319</v>
      </c>
      <c r="C89" s="13">
        <v>1</v>
      </c>
      <c r="D89" s="14" t="s">
        <v>320</v>
      </c>
      <c r="E89" s="11" t="s">
        <v>321</v>
      </c>
      <c r="F89" s="14" t="s">
        <v>322</v>
      </c>
      <c r="G89" s="14" t="s">
        <v>323</v>
      </c>
      <c r="H89" s="11" t="s">
        <v>114</v>
      </c>
      <c r="I89" s="15">
        <v>10.53</v>
      </c>
      <c r="J89" s="16">
        <f t="shared" si="4"/>
        <v>10.53</v>
      </c>
      <c r="K89" s="17">
        <f t="shared" si="5"/>
        <v>1053</v>
      </c>
      <c r="L89" s="12" t="s">
        <v>324</v>
      </c>
    </row>
    <row r="90" spans="1:12" x14ac:dyDescent="0.2">
      <c r="A90" s="18">
        <v>78</v>
      </c>
      <c r="B90" s="19" t="s">
        <v>325</v>
      </c>
      <c r="C90" s="20">
        <v>2</v>
      </c>
      <c r="D90" s="21" t="s">
        <v>326</v>
      </c>
      <c r="E90" s="18" t="s">
        <v>321</v>
      </c>
      <c r="F90" s="21" t="s">
        <v>327</v>
      </c>
      <c r="G90" s="21" t="s">
        <v>328</v>
      </c>
      <c r="H90" s="18" t="s">
        <v>32</v>
      </c>
      <c r="I90" s="22">
        <v>3.1017000000000001</v>
      </c>
      <c r="J90" s="23">
        <f t="shared" si="4"/>
        <v>6.2034000000000002</v>
      </c>
      <c r="K90" s="24">
        <f t="shared" si="5"/>
        <v>620.34</v>
      </c>
      <c r="L90" s="19"/>
    </row>
    <row r="91" spans="1:12" x14ac:dyDescent="0.2">
      <c r="A91" s="11">
        <v>79</v>
      </c>
      <c r="B91" s="12" t="s">
        <v>329</v>
      </c>
      <c r="C91" s="13">
        <v>1</v>
      </c>
      <c r="D91" s="14" t="s">
        <v>330</v>
      </c>
      <c r="E91" s="11" t="s">
        <v>331</v>
      </c>
      <c r="F91" s="14" t="s">
        <v>332</v>
      </c>
      <c r="G91" s="14" t="s">
        <v>153</v>
      </c>
      <c r="H91" s="11" t="s">
        <v>114</v>
      </c>
      <c r="I91" s="15">
        <v>1.1299999999999999</v>
      </c>
      <c r="J91" s="16">
        <f t="shared" si="4"/>
        <v>1.1299999999999999</v>
      </c>
      <c r="K91" s="17">
        <f t="shared" si="5"/>
        <v>112.99999999999999</v>
      </c>
      <c r="L91" s="12"/>
    </row>
    <row r="92" spans="1:12" ht="24" x14ac:dyDescent="0.2">
      <c r="A92" s="18">
        <v>80</v>
      </c>
      <c r="B92" s="19" t="s">
        <v>333</v>
      </c>
      <c r="C92" s="20">
        <v>1</v>
      </c>
      <c r="D92" s="21" t="s">
        <v>334</v>
      </c>
      <c r="E92" s="18" t="s">
        <v>335</v>
      </c>
      <c r="F92" s="21" t="s">
        <v>336</v>
      </c>
      <c r="G92" s="21" t="s">
        <v>337</v>
      </c>
      <c r="H92" s="18" t="s">
        <v>32</v>
      </c>
      <c r="I92" s="22">
        <v>2.8765999999999998</v>
      </c>
      <c r="J92" s="23">
        <f t="shared" si="4"/>
        <v>2.8765999999999998</v>
      </c>
      <c r="K92" s="24">
        <f t="shared" si="5"/>
        <v>287.65999999999997</v>
      </c>
      <c r="L92" s="19" t="s">
        <v>338</v>
      </c>
    </row>
    <row r="93" spans="1:12" x14ac:dyDescent="0.2">
      <c r="A93" s="11">
        <v>81</v>
      </c>
      <c r="B93" s="12" t="s">
        <v>339</v>
      </c>
      <c r="C93" s="13">
        <v>1</v>
      </c>
      <c r="D93" s="14" t="s">
        <v>340</v>
      </c>
      <c r="E93" s="11" t="s">
        <v>341</v>
      </c>
      <c r="F93" s="14" t="s">
        <v>342</v>
      </c>
      <c r="G93" s="14" t="s">
        <v>337</v>
      </c>
      <c r="H93" s="11" t="s">
        <v>32</v>
      </c>
      <c r="I93" s="15">
        <v>4.5999999999999996</v>
      </c>
      <c r="J93" s="16">
        <f t="shared" si="4"/>
        <v>4.5999999999999996</v>
      </c>
      <c r="K93" s="17">
        <f t="shared" si="5"/>
        <v>459.99999999999994</v>
      </c>
      <c r="L93" s="12"/>
    </row>
    <row r="94" spans="1:12" x14ac:dyDescent="0.2">
      <c r="A94" s="18">
        <v>82</v>
      </c>
      <c r="B94" s="19" t="s">
        <v>343</v>
      </c>
      <c r="C94" s="20">
        <v>1</v>
      </c>
      <c r="D94" s="21" t="s">
        <v>344</v>
      </c>
      <c r="E94" s="18" t="s">
        <v>345</v>
      </c>
      <c r="F94" s="21" t="s">
        <v>346</v>
      </c>
      <c r="G94" s="21" t="s">
        <v>312</v>
      </c>
      <c r="H94" s="18" t="s">
        <v>212</v>
      </c>
      <c r="I94" s="22">
        <v>1.073</v>
      </c>
      <c r="J94" s="23">
        <f t="shared" si="4"/>
        <v>1.073</v>
      </c>
      <c r="K94" s="24">
        <f t="shared" si="5"/>
        <v>107.3</v>
      </c>
      <c r="L94" s="19"/>
    </row>
    <row r="95" spans="1:12" x14ac:dyDescent="0.2">
      <c r="A95" s="11">
        <v>83</v>
      </c>
      <c r="B95" s="12" t="s">
        <v>347</v>
      </c>
      <c r="C95" s="13">
        <v>1</v>
      </c>
      <c r="D95" s="14" t="s">
        <v>348</v>
      </c>
      <c r="E95" s="11" t="s">
        <v>341</v>
      </c>
      <c r="F95" s="14" t="s">
        <v>349</v>
      </c>
      <c r="G95" s="14" t="s">
        <v>312</v>
      </c>
      <c r="H95" s="11" t="s">
        <v>212</v>
      </c>
      <c r="I95" s="15">
        <v>2.9573999999999998</v>
      </c>
      <c r="J95" s="16">
        <f t="shared" si="4"/>
        <v>2.9573999999999998</v>
      </c>
      <c r="K95" s="17">
        <f t="shared" si="5"/>
        <v>295.74</v>
      </c>
      <c r="L95" s="12"/>
    </row>
    <row r="96" spans="1:12" x14ac:dyDescent="0.2">
      <c r="A96" s="18">
        <v>84</v>
      </c>
      <c r="B96" s="19" t="s">
        <v>350</v>
      </c>
      <c r="C96" s="20">
        <v>1</v>
      </c>
      <c r="D96" s="21" t="s">
        <v>344</v>
      </c>
      <c r="E96" s="18" t="s">
        <v>351</v>
      </c>
      <c r="F96" s="21" t="s">
        <v>352</v>
      </c>
      <c r="G96" s="21" t="s">
        <v>312</v>
      </c>
      <c r="H96" s="18" t="s">
        <v>212</v>
      </c>
      <c r="I96" s="22">
        <v>0.13</v>
      </c>
      <c r="J96" s="23">
        <f t="shared" si="4"/>
        <v>0.13</v>
      </c>
      <c r="K96" s="24">
        <f t="shared" si="5"/>
        <v>13</v>
      </c>
      <c r="L96" s="19"/>
    </row>
    <row r="97" spans="1:12" x14ac:dyDescent="0.2">
      <c r="A97" s="11">
        <v>85</v>
      </c>
      <c r="B97" s="12" t="s">
        <v>353</v>
      </c>
      <c r="C97" s="13">
        <v>1</v>
      </c>
      <c r="D97" s="14" t="s">
        <v>354</v>
      </c>
      <c r="E97" s="11" t="s">
        <v>341</v>
      </c>
      <c r="F97" s="14" t="s">
        <v>355</v>
      </c>
      <c r="G97" s="14" t="s">
        <v>312</v>
      </c>
      <c r="H97" s="11" t="s">
        <v>32</v>
      </c>
      <c r="I97" s="15">
        <v>0.83720000000000006</v>
      </c>
      <c r="J97" s="16">
        <f t="shared" si="4"/>
        <v>0.83720000000000006</v>
      </c>
      <c r="K97" s="17">
        <f t="shared" si="5"/>
        <v>83.72</v>
      </c>
      <c r="L97" s="12"/>
    </row>
    <row r="98" spans="1:12" x14ac:dyDescent="0.2">
      <c r="A98" s="18">
        <v>86</v>
      </c>
      <c r="B98" s="19" t="s">
        <v>356</v>
      </c>
      <c r="C98" s="20">
        <v>1</v>
      </c>
      <c r="D98" s="21" t="s">
        <v>357</v>
      </c>
      <c r="E98" s="18" t="s">
        <v>358</v>
      </c>
      <c r="F98" s="21" t="s">
        <v>359</v>
      </c>
      <c r="G98" s="21" t="s">
        <v>312</v>
      </c>
      <c r="H98" s="18" t="s">
        <v>32</v>
      </c>
      <c r="I98" s="22">
        <v>0.188</v>
      </c>
      <c r="J98" s="23">
        <f t="shared" si="4"/>
        <v>0.188</v>
      </c>
      <c r="K98" s="24">
        <f t="shared" si="5"/>
        <v>18.8</v>
      </c>
      <c r="L98" s="19"/>
    </row>
    <row r="99" spans="1:12" x14ac:dyDescent="0.2">
      <c r="A99" s="11">
        <v>87</v>
      </c>
      <c r="B99" s="12" t="s">
        <v>360</v>
      </c>
      <c r="C99" s="13">
        <v>1</v>
      </c>
      <c r="D99" s="14" t="s">
        <v>361</v>
      </c>
      <c r="E99" s="11" t="s">
        <v>345</v>
      </c>
      <c r="F99" s="14" t="s">
        <v>362</v>
      </c>
      <c r="G99" s="14" t="s">
        <v>312</v>
      </c>
      <c r="H99" s="11" t="s">
        <v>212</v>
      </c>
      <c r="I99" s="15">
        <v>1.0109999999999999</v>
      </c>
      <c r="J99" s="16">
        <f t="shared" si="4"/>
        <v>1.0109999999999999</v>
      </c>
      <c r="K99" s="17">
        <f t="shared" si="5"/>
        <v>101.1</v>
      </c>
      <c r="L99" s="12"/>
    </row>
    <row r="100" spans="1:12" x14ac:dyDescent="0.2">
      <c r="A100" s="18">
        <v>88</v>
      </c>
      <c r="B100" s="19" t="s">
        <v>363</v>
      </c>
      <c r="C100" s="20">
        <v>2</v>
      </c>
      <c r="D100" s="21" t="s">
        <v>364</v>
      </c>
      <c r="E100" s="18" t="s">
        <v>365</v>
      </c>
      <c r="F100" s="21" t="s">
        <v>366</v>
      </c>
      <c r="G100" s="21" t="s">
        <v>367</v>
      </c>
      <c r="H100" s="18" t="s">
        <v>114</v>
      </c>
      <c r="I100" s="22">
        <v>1.1200000000000001</v>
      </c>
      <c r="J100" s="23">
        <f t="shared" si="4"/>
        <v>2.2400000000000002</v>
      </c>
      <c r="K100" s="24">
        <f t="shared" si="5"/>
        <v>224.00000000000003</v>
      </c>
      <c r="L100" s="19"/>
    </row>
    <row r="101" spans="1:12" x14ac:dyDescent="0.2">
      <c r="A101" s="11">
        <v>89</v>
      </c>
      <c r="B101" s="12" t="s">
        <v>368</v>
      </c>
      <c r="C101" s="13">
        <v>2</v>
      </c>
      <c r="D101" s="14" t="s">
        <v>369</v>
      </c>
      <c r="E101" s="11" t="s">
        <v>370</v>
      </c>
      <c r="F101" s="14" t="s">
        <v>371</v>
      </c>
      <c r="G101" s="14" t="s">
        <v>367</v>
      </c>
      <c r="H101" s="11" t="s">
        <v>32</v>
      </c>
      <c r="I101" s="15">
        <v>0.45900000000000002</v>
      </c>
      <c r="J101" s="16">
        <f t="shared" si="4"/>
        <v>0.91800000000000004</v>
      </c>
      <c r="K101" s="17">
        <f t="shared" si="5"/>
        <v>91.8</v>
      </c>
      <c r="L101" s="12"/>
    </row>
    <row r="102" spans="1:12" x14ac:dyDescent="0.2">
      <c r="A102" s="25" t="s">
        <v>372</v>
      </c>
      <c r="B102" s="26"/>
      <c r="C102" s="27">
        <f>SUM(C13:C101)</f>
        <v>228</v>
      </c>
      <c r="D102" s="26"/>
      <c r="E102" s="26"/>
      <c r="F102" s="26"/>
      <c r="G102" s="26"/>
      <c r="H102" s="28" t="s">
        <v>373</v>
      </c>
      <c r="I102" s="29"/>
      <c r="J102" s="30">
        <f>SUM(J13:J101)</f>
        <v>86.003199999999964</v>
      </c>
      <c r="K102" s="31">
        <f>SUM(K13:K101)</f>
        <v>8600.3199999999979</v>
      </c>
      <c r="L102" s="29"/>
    </row>
  </sheetData>
  <mergeCells count="5">
    <mergeCell ref="A1:L1"/>
    <mergeCell ref="A2:L2"/>
    <mergeCell ref="H5:L5"/>
    <mergeCell ref="H6:L6"/>
    <mergeCell ref="H7:L7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Priced BOM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Christian Pedersen</cp:lastModifiedBy>
  <cp:revision>0</cp:revision>
  <dcterms:created xsi:type="dcterms:W3CDTF">2026-07-23T17:50:33Z</dcterms:created>
  <dcterms:modified xsi:type="dcterms:W3CDTF">2026-07-23T17:53:53Z</dcterms:modified>
  <dc:language>en-US</dc:language>
</cp:coreProperties>
</file>